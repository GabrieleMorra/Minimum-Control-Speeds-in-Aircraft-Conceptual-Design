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https://communitystudentiunina-my.sharepoint.com/personal/gabriele_morra_unina_it/Documents/Desktop/Minimum-Control-Speeds-in-Aircraft-Conceptual-Design/"/>
    </mc:Choice>
  </mc:AlternateContent>
  <xr:revisionPtr revIDLastSave="33477" documentId="13_ncr:1_{C22878C5-D51B-4259-9A50-FE62383EAD48}" xr6:coauthVersionLast="47" xr6:coauthVersionMax="47" xr10:uidLastSave="{40BFEE25-61E6-4739-A9A5-288B57F882EE}"/>
  <bookViews>
    <workbookView xWindow="-96" yWindow="-96" windowWidth="23232" windowHeight="12432" tabRatio="825" xr2:uid="{00000000-000D-0000-FFFF-FFFF00000000}"/>
  </bookViews>
  <sheets>
    <sheet name="Input" sheetId="2" r:id="rId1"/>
    <sheet name="Reading" sheetId="1" r:id="rId2"/>
    <sheet name="Output" sheetId="3" r:id="rId3"/>
  </sheets>
  <definedNames>
    <definedName name="_xleta.AND" hidden="1" xlm="1">#NAME?</definedName>
    <definedName name="_xleta.DELTA" hidden="1" xlm="1">#NAME?</definedName>
    <definedName name="_xleta.FORECAST.LINEAR" hidden="1" xlm="1">#NAME?</definedName>
    <definedName name="_xleta.INDEX" hidden="1" xlm="1">#NAME?</definedName>
    <definedName name="DatiEsterni_1" localSheetId="0" hidden="1">Input!#REF!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5" i="2" l="1"/>
  <c r="G47" i="2"/>
  <c r="G46" i="2"/>
  <c r="G52" i="2"/>
  <c r="G50" i="2"/>
  <c r="G51" i="2"/>
  <c r="G49" i="2"/>
  <c r="G48" i="2"/>
  <c r="AQ1" i="1" a="1"/>
  <c r="E2" i="1" a="1"/>
  <c r="A2" i="1" a="1"/>
  <c r="AS1" i="1" a="1"/>
  <c r="AT1" i="1" a="1"/>
  <c r="AW1" i="1" a="1"/>
  <c r="AU1" i="1" a="1"/>
  <c r="B2" i="1" a="1"/>
  <c r="AR1" i="1" a="1"/>
  <c r="D2" i="1" a="1"/>
  <c r="C2" i="1" a="1"/>
  <c r="AV1" i="1" a="1"/>
  <c r="E2" i="1" l="1"/>
  <c r="D2" i="1"/>
  <c r="C2" i="1"/>
  <c r="B2" i="1"/>
  <c r="A2" i="1"/>
  <c r="AW1" i="1"/>
  <c r="AV1" i="1"/>
  <c r="AU1" i="1"/>
  <c r="AT1" i="1"/>
  <c r="AS1" i="1"/>
  <c r="AR1" i="1"/>
  <c r="AQ1" i="1"/>
  <c r="Q3" i="1"/>
  <c r="G39" i="2"/>
  <c r="G20" i="2"/>
  <c r="G19" i="2"/>
  <c r="G9" i="2"/>
  <c r="G10" i="2"/>
  <c r="G11" i="2"/>
  <c r="G12" i="2"/>
  <c r="G13" i="2"/>
  <c r="G14" i="2"/>
  <c r="G15" i="2"/>
  <c r="G16" i="2"/>
  <c r="G17" i="2"/>
  <c r="G18" i="2"/>
  <c r="G21" i="2"/>
  <c r="G22" i="2"/>
  <c r="G23" i="2"/>
  <c r="G24" i="2"/>
  <c r="G25" i="2"/>
  <c r="G26" i="2"/>
  <c r="G27" i="2"/>
  <c r="G28" i="2"/>
  <c r="G29" i="2"/>
  <c r="G30" i="2"/>
  <c r="G32" i="2"/>
  <c r="G33" i="2"/>
  <c r="G34" i="2"/>
  <c r="G35" i="2"/>
  <c r="G36" i="2"/>
  <c r="G37" i="2"/>
  <c r="G38" i="2"/>
  <c r="G40" i="2"/>
  <c r="G41" i="2"/>
  <c r="G42" i="2"/>
  <c r="G43" i="2"/>
  <c r="G44" i="2"/>
  <c r="G4" i="2"/>
  <c r="F27" i="2"/>
  <c r="F20" i="2"/>
  <c r="F19" i="2"/>
  <c r="F12" i="2"/>
  <c r="F7" i="2"/>
  <c r="F5" i="2"/>
  <c r="J3" i="1"/>
  <c r="P3" i="1"/>
  <c r="O3" i="1"/>
  <c r="N3" i="1"/>
  <c r="M3" i="1"/>
  <c r="L3" i="1"/>
  <c r="K3" i="1"/>
  <c r="I3" i="1"/>
  <c r="H3" i="1"/>
  <c r="G3" i="1"/>
  <c r="F3" i="1"/>
  <c r="E3" i="1"/>
  <c r="D3" i="1"/>
  <c r="C3" i="1"/>
  <c r="B3" i="1"/>
  <c r="A3" i="1"/>
  <c r="E7" i="2"/>
  <c r="E1" i="1" a="1"/>
  <c r="J1" i="1" a="1"/>
  <c r="AA1" i="1" a="1"/>
  <c r="AO1" i="1" a="1"/>
  <c r="A1" i="1" a="1"/>
  <c r="Y1" i="1" a="1"/>
  <c r="AP1" i="1" a="1"/>
  <c r="R1" i="1" a="1"/>
  <c r="T1" i="1" a="1"/>
  <c r="O1" i="1" a="1"/>
  <c r="F1" i="1" a="1"/>
  <c r="AM1" i="1" a="1"/>
  <c r="S1" i="1" a="1"/>
  <c r="AN1" i="1" a="1"/>
  <c r="W1" i="1" a="1"/>
  <c r="P1" i="1" a="1"/>
  <c r="K16" i="2" a="1"/>
  <c r="C1" i="1" a="1"/>
  <c r="AE1" i="1" a="1"/>
  <c r="B1" i="1" a="1"/>
  <c r="N1" i="1" a="1"/>
  <c r="AI1" i="1" a="1"/>
  <c r="AK1" i="1" a="1"/>
  <c r="AF1" i="1" a="1"/>
  <c r="I1" i="1" a="1"/>
  <c r="H1" i="1" a="1"/>
  <c r="X1" i="1" a="1"/>
  <c r="U1" i="1" a="1"/>
  <c r="Z1" i="1" a="1"/>
  <c r="AL1" i="1" a="1"/>
  <c r="AD1" i="1" a="1"/>
  <c r="AH1" i="1" a="1"/>
  <c r="Q1" i="1" a="1"/>
  <c r="AB1" i="1" a="1"/>
  <c r="AG1" i="1" a="1"/>
  <c r="L1" i="1" a="1"/>
  <c r="AJ1" i="1" a="1"/>
  <c r="K1" i="1" a="1"/>
  <c r="G1" i="1" a="1"/>
  <c r="M1" i="1" a="1"/>
  <c r="AC1" i="1" a="1"/>
  <c r="V1" i="1" a="1"/>
  <c r="D1" i="1" a="1"/>
  <c r="K16" i="2" l="1"/>
  <c r="AO1" i="1"/>
  <c r="AP1" i="1"/>
  <c r="AN1" i="1"/>
  <c r="AM1" i="1"/>
  <c r="AL1" i="1"/>
  <c r="AI1" i="1"/>
  <c r="AK1" i="1"/>
  <c r="AJ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780F499-2B07-4B92-B04F-2EA85C5BC8A0}" keepAlive="1" name="Query - input" description="Connessione alla query 'input' nella cartella di lavoro." type="5" refreshedVersion="0" background="1">
    <dbPr connection="Provider=Microsoft.Mashup.OleDb.1;Data Source=$Workbook$;Location=input;Extended Properties=&quot;&quot;" command="SELECT * FROM [input]"/>
  </connection>
  <connection id="2" xr16:uid="{74B2C364-D743-4512-A491-C5988B23C8C4}" keepAlive="1" name="Query - nuovo 1" description="Connessione alla query 'nuovo 1' nella cartella di lavoro." type="5" refreshedVersion="0" background="1" saveData="1">
    <dbPr connection="Provider=Microsoft.Mashup.OleDb.1;Data Source=$Workbook$;Location=&quot;nuovo 1&quot;;Extended Properties=&quot;&quot;" command="SELECT * FROM [nuovo 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<sst xmlns="http://schemas.openxmlformats.org/spreadsheetml/2006/main" count="208" uniqueCount="151">
  <si>
    <t xml:space="preserve">Mach </t>
  </si>
  <si>
    <t xml:space="preserve">Fuselage Diameter At Vertical Tail Quarter Chord </t>
  </si>
  <si>
    <t xml:space="preserve">Fuselage Length </t>
  </si>
  <si>
    <t xml:space="preserve">Horizontal Surface </t>
  </si>
  <si>
    <t xml:space="preserve">Horizontal Span </t>
  </si>
  <si>
    <t xml:space="preserve">Horizontal Sweep Half Chord </t>
  </si>
  <si>
    <t xml:space="preserve">Vertical Rudder Chord Fraction </t>
  </si>
  <si>
    <t xml:space="preserve">Vertical Span </t>
  </si>
  <si>
    <t xml:space="preserve">Vertical Sweep Quarter Chord </t>
  </si>
  <si>
    <t xml:space="preserve">Vertical Chord Root </t>
  </si>
  <si>
    <t xml:space="preserve">Vertical Chord Tip </t>
  </si>
  <si>
    <t xml:space="preserve">Vertical Z </t>
  </si>
  <si>
    <t xml:space="preserve">Vertical L </t>
  </si>
  <si>
    <t xml:space="preserve">Vertical Rudder Maximum Deflection </t>
  </si>
  <si>
    <t xml:space="preserve">Wing Surface </t>
  </si>
  <si>
    <t xml:space="preserve">Wing Span </t>
  </si>
  <si>
    <t xml:space="preserve">Wing Dihedral </t>
  </si>
  <si>
    <t xml:space="preserve">Wing Height </t>
  </si>
  <si>
    <t xml:space="preserve">Wing Aileron Maximum Deflection </t>
  </si>
  <si>
    <t xml:space="preserve">Number Of Engines </t>
  </si>
  <si>
    <t>m</t>
  </si>
  <si>
    <t>m2</t>
  </si>
  <si>
    <t>deg</t>
  </si>
  <si>
    <t>Wing Average Sweep (of the equivalent wing)</t>
  </si>
  <si>
    <t>Horizontal distance from CG to AC of vertical tail</t>
  </si>
  <si>
    <t>Vertical distance from CG to AC of vertical tail</t>
  </si>
  <si>
    <t xml:space="preserve">Distance from body centerline to quarter-chord point of </t>
  </si>
  <si>
    <t>Max Static Thrust</t>
  </si>
  <si>
    <t>N</t>
  </si>
  <si>
    <t>Y thust axis</t>
  </si>
  <si>
    <t>Worst case scenario: external engine</t>
  </si>
  <si>
    <t>Vertical Surface</t>
  </si>
  <si>
    <t>Folder path</t>
  </si>
  <si>
    <t>Horizontal Z</t>
  </si>
  <si>
    <t>Horizontal height w.r.t. aircraft centerline</t>
  </si>
  <si>
    <t>Notes</t>
  </si>
  <si>
    <t xml:space="preserve">                     </t>
  </si>
  <si>
    <t>exposed wing root chord, positive for the quarter-chord</t>
  </si>
  <si>
    <t>point below the body centerline</t>
  </si>
  <si>
    <t xml:space="preserve">   </t>
  </si>
  <si>
    <t xml:space="preserve">Nacelle Reference Diameter </t>
  </si>
  <si>
    <t xml:space="preserve">Fuselage Reference Diameter </t>
  </si>
  <si>
    <t>See documentation CY_Beta Fuselage</t>
  </si>
  <si>
    <t>Wing Taper Ratio</t>
  </si>
  <si>
    <t>Wing Tip X Position</t>
  </si>
  <si>
    <t>See documentation CL_Beta</t>
  </si>
  <si>
    <t>Wing Geometric Twist</t>
  </si>
  <si>
    <t>Fuselage Volume</t>
  </si>
  <si>
    <t>m3</t>
  </si>
  <si>
    <t>%</t>
  </si>
  <si>
    <t>Wing Thickness/Chord Ratio at Aileron Station</t>
  </si>
  <si>
    <t>Wing Aileron Chord Fraction</t>
  </si>
  <si>
    <t>1/rad</t>
  </si>
  <si>
    <t>Wing Airfoil Lift Curve Slope at Aileron Station</t>
  </si>
  <si>
    <t>Wing Aileron Inner Position / Wing Span</t>
  </si>
  <si>
    <t>Wing Aileron Outer Position / Wing Span</t>
  </si>
  <si>
    <t>Vertical Rudder / Vertical Span</t>
  </si>
  <si>
    <t>Vertical Thickness/Chord Ratio at Rudder Station</t>
  </si>
  <si>
    <t>Mass [kg]</t>
  </si>
  <si>
    <t>kg</t>
  </si>
  <si>
    <t>CL max TO</t>
  </si>
  <si>
    <t>C-130J-30 data</t>
  </si>
  <si>
    <t>Flight Height</t>
  </si>
  <si>
    <t>ft</t>
  </si>
  <si>
    <t>Flight ISA Deviation</t>
  </si>
  <si>
    <t>°C</t>
  </si>
  <si>
    <t>TP</t>
  </si>
  <si>
    <t>chooose TP or TF</t>
  </si>
  <si>
    <t>INPUT AIRCRAFT PARAMETERS</t>
  </si>
  <si>
    <t>INPUT FLIGHT CONDITIONS</t>
  </si>
  <si>
    <t>Data Input Column</t>
  </si>
  <si>
    <t>Engine Type: TurboProp (TP), TurboFan (TF)</t>
  </si>
  <si>
    <t>Run algorithm button</t>
  </si>
  <si>
    <t>INPUT ALGORITHM SETUP</t>
  </si>
  <si>
    <t>Run Simplified Vmcg analysis</t>
  </si>
  <si>
    <r>
      <t xml:space="preserve">Run Vmca analysis </t>
    </r>
    <r>
      <rPr>
        <sz val="11"/>
        <color theme="1"/>
        <rFont val="Aptos Narrow"/>
        <family val="2"/>
      </rPr>
      <t>φ</t>
    </r>
    <r>
      <rPr>
        <sz val="11"/>
        <color theme="1"/>
        <rFont val="Calibri"/>
        <family val="2"/>
      </rPr>
      <t xml:space="preserve"> fixed</t>
    </r>
  </si>
  <si>
    <t>Please specify 1/0, yes or no</t>
  </si>
  <si>
    <t>Run Vmca analysis for several masses</t>
  </si>
  <si>
    <t xml:space="preserve">This analysis is conducted with the above defined Start φ vector, End φ vector and 2*Step φ vector </t>
  </si>
  <si>
    <t>col E</t>
  </si>
  <si>
    <t>col F</t>
  </si>
  <si>
    <t>φ Array length:</t>
  </si>
  <si>
    <t>Mass Array length:</t>
  </si>
  <si>
    <t>Run Vmca analysis for different atm conditions</t>
  </si>
  <si>
    <r>
      <t xml:space="preserve">Start </t>
    </r>
    <r>
      <rPr>
        <sz val="11"/>
        <color theme="1"/>
        <rFont val="Aptos Narrow"/>
        <family val="2"/>
      </rPr>
      <t>φ</t>
    </r>
    <r>
      <rPr>
        <sz val="11"/>
        <color theme="1"/>
        <rFont val="Calibri"/>
        <family val="2"/>
      </rPr>
      <t xml:space="preserve"> vector</t>
    </r>
    <r>
      <rPr>
        <sz val="11"/>
        <color theme="1"/>
        <rFont val="Calibri"/>
        <family val="2"/>
        <scheme val="minor"/>
      </rPr>
      <t xml:space="preserve"> [deg]</t>
    </r>
  </si>
  <si>
    <t>Step φ vector [deg]</t>
  </si>
  <si>
    <t>End φ vector [deg]</t>
  </si>
  <si>
    <r>
      <t xml:space="preserve">Start </t>
    </r>
    <r>
      <rPr>
        <sz val="11"/>
        <color theme="1"/>
        <rFont val="Aptos Narrow"/>
        <family val="2"/>
      </rPr>
      <t>mass</t>
    </r>
    <r>
      <rPr>
        <sz val="11"/>
        <color theme="1"/>
        <rFont val="Calibri"/>
        <family val="2"/>
      </rPr>
      <t xml:space="preserve"> vector</t>
    </r>
    <r>
      <rPr>
        <sz val="11"/>
        <color theme="1"/>
        <rFont val="Calibri"/>
        <family val="2"/>
        <scheme val="minor"/>
      </rPr>
      <t xml:space="preserve"> [kg]</t>
    </r>
  </si>
  <si>
    <t>Step mass vector [kg]</t>
  </si>
  <si>
    <t>End mass vector [kg]</t>
  </si>
  <si>
    <t>Start height vector [ft]</t>
  </si>
  <si>
    <t>Step height vector [ft]</t>
  </si>
  <si>
    <t>End height vector [ft]</t>
  </si>
  <si>
    <r>
      <t xml:space="preserve">Start </t>
    </r>
    <r>
      <rPr>
        <sz val="11"/>
        <color theme="1"/>
        <rFont val="Aptos Narrow"/>
        <family val="2"/>
      </rPr>
      <t>Δ</t>
    </r>
    <r>
      <rPr>
        <sz val="11"/>
        <color theme="1"/>
        <rFont val="Calibri"/>
        <family val="2"/>
      </rPr>
      <t>ISA vector [°C]</t>
    </r>
  </si>
  <si>
    <t>Step ΔISA vector [°C]</t>
  </si>
  <si>
    <t>End ΔISA vector [°C]</t>
  </si>
  <si>
    <t>Height Array length:</t>
  </si>
  <si>
    <t>ΔISA Array length:</t>
  </si>
  <si>
    <t>Derivatives computation at constant specified Mach for Vmcg</t>
  </si>
  <si>
    <t>ATR-72 data</t>
  </si>
  <si>
    <r>
      <t xml:space="preserve">Horizontal </t>
    </r>
    <r>
      <rPr>
        <sz val="11"/>
        <color theme="1"/>
        <rFont val="Calibri"/>
        <family val="2"/>
      </rPr>
      <t>η</t>
    </r>
  </si>
  <si>
    <t>C-130J data</t>
  </si>
  <si>
    <t>CL ground</t>
  </si>
  <si>
    <t>Rz bar</t>
  </si>
  <si>
    <t>Roskam PartV, Tables B2-12</t>
  </si>
  <si>
    <t>Run detailed Vmcg analysis for different atms</t>
  </si>
  <si>
    <t>Max Side Displacement (Vmcg)</t>
  </si>
  <si>
    <t>CD0 Takeoff</t>
  </si>
  <si>
    <t>oswald</t>
  </si>
  <si>
    <t>xm</t>
  </si>
  <si>
    <t>xn</t>
  </si>
  <si>
    <t>ym</t>
  </si>
  <si>
    <t>Rudder Angular Velocity</t>
  </si>
  <si>
    <t>deg/s</t>
  </si>
  <si>
    <t>Operating Empty Mass</t>
  </si>
  <si>
    <t>E</t>
  </si>
  <si>
    <t>col G</t>
  </si>
  <si>
    <t>UM</t>
  </si>
  <si>
    <t>Please specify 1/0, yes or no. Atm are the same specified above</t>
  </si>
  <si>
    <t>Fuselage Section Area S0</t>
  </si>
  <si>
    <t>Last executed:</t>
  </si>
  <si>
    <t>------------------------------------------------------------------ Vmcg results below ------------------------------------------------------------------</t>
  </si>
  <si>
    <t>Speed [kts]</t>
  </si>
  <si>
    <t>T/T0</t>
  </si>
  <si>
    <t>CY β [1/rad]</t>
  </si>
  <si>
    <t>CL β [1/rad]</t>
  </si>
  <si>
    <t>CN β [1/rad]</t>
  </si>
  <si>
    <t>CY δa [1/rad]</t>
  </si>
  <si>
    <t>CL δa [1/rad]</t>
  </si>
  <si>
    <t>CN δa [1/rad]</t>
  </si>
  <si>
    <t>CY δr [1/rad]</t>
  </si>
  <si>
    <t>CL δr [1/rad]</t>
  </si>
  <si>
    <t>CN δr [1/rad]</t>
  </si>
  <si>
    <t>Vmcg CAS [kts]</t>
  </si>
  <si>
    <t>Air density [kg/m³]</t>
  </si>
  <si>
    <t>------------------------------------------------------------------ Vmca Phi fixed results below ------------------------------------------------------------------</t>
  </si>
  <si>
    <t>φ [deg]</t>
  </si>
  <si>
    <t>β [deg]</t>
  </si>
  <si>
    <t>δr [deg]</t>
  </si>
  <si>
    <t>δa [deg]</t>
  </si>
  <si>
    <t>Vmca CAS [kts]</t>
  </si>
  <si>
    <t>Height [ft]</t>
  </si>
  <si>
    <t>ΔISA [°C]</t>
  </si>
  <si>
    <t>Standardized Vmca Flight Manual CAS [kts]</t>
  </si>
  <si>
    <t>------------------------------------------------------------------ Vmca Mass fixed results below ------------------------------------------------------------------</t>
  </si>
  <si>
    <t>------------------------------------------------------------------ Vmca variable atmosphere results below ------------------------------------------------------------------</t>
  </si>
  <si>
    <t>OAT [°C]</t>
  </si>
  <si>
    <t>------------------------------------------------------------------ Vmcg detailed analysis results below ------------------------------------------------------------------</t>
  </si>
  <si>
    <t>Vmcg Flight Manual CAS [kts]</t>
  </si>
  <si>
    <t>INSERT PATH HERE</t>
  </si>
  <si>
    <t>Please specify  folder path of the Excel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</si>
</sst>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ptos Narrow"/>
      <family val="2"/>
    </font>
    <font>
      <sz val="8"/>
      <name val="Calibri"/>
      <family val="2"/>
      <scheme val="minor"/>
    </font>
    <font>
      <b/>
      <sz val="14"/>
      <color rgb="FF008000"/>
      <name val="Calibri"/>
      <family val="2"/>
    </font>
    <font>
      <sz val="11"/>
      <color theme="1"/>
      <name val="Calibri"/>
      <family val="2"/>
    </font>
    <font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81">
    <xf numFmtId="0" fontId="0" fillId="0" borderId="0" xfId="0"/>
    <xf numFmtId="0" fontId="0" fillId="0" borderId="0" xfId="0" applyAlignment="1">
      <alignment horizontal="center" vertical="center"/>
    </xf>
    <xf numFmtId="0" fontId="0" fillId="0" borderId="5" xfId="0" applyBorder="1"/>
    <xf numFmtId="0" fontId="0" fillId="0" borderId="7" xfId="0" applyBorder="1"/>
    <xf numFmtId="0" fontId="0" fillId="0" borderId="10" xfId="0" applyBorder="1"/>
    <xf numFmtId="0" fontId="0" fillId="0" borderId="13" xfId="0" applyBorder="1"/>
    <xf numFmtId="0" fontId="0" fillId="0" borderId="11" xfId="0" applyBorder="1"/>
    <xf numFmtId="2" fontId="0" fillId="0" borderId="12" xfId="0" applyNumberFormat="1" applyBorder="1"/>
    <xf numFmtId="0" fontId="0" fillId="0" borderId="9" xfId="0" applyBorder="1"/>
    <xf numFmtId="0" fontId="0" fillId="0" borderId="4" xfId="0" applyBorder="1"/>
    <xf numFmtId="0" fontId="0" fillId="0" borderId="12" xfId="0" applyBorder="1"/>
    <xf numFmtId="0" fontId="0" fillId="0" borderId="15" xfId="0" applyBorder="1"/>
    <xf numFmtId="11" fontId="0" fillId="0" borderId="0" xfId="0" applyNumberFormat="1" applyAlignment="1">
      <alignment horizontal="center" vertical="center"/>
    </xf>
    <xf numFmtId="0" fontId="0" fillId="0" borderId="6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6" xfId="0" applyBorder="1"/>
    <xf numFmtId="0" fontId="0" fillId="0" borderId="8" xfId="0" applyBorder="1"/>
    <xf numFmtId="0" fontId="1" fillId="3" borderId="3" xfId="0" applyFont="1" applyFill="1" applyBorder="1" applyAlignment="1">
      <alignment horizontal="center" vertical="center"/>
    </xf>
    <xf numFmtId="0" fontId="0" fillId="4" borderId="3" xfId="0" applyFill="1" applyBorder="1" applyAlignment="1">
      <alignment horizontal="left" vertical="center"/>
    </xf>
    <xf numFmtId="0" fontId="0" fillId="4" borderId="6" xfId="0" applyFill="1" applyBorder="1" applyAlignment="1">
      <alignment horizontal="left" vertical="center"/>
    </xf>
    <xf numFmtId="0" fontId="1" fillId="0" borderId="0" xfId="0" applyFont="1"/>
    <xf numFmtId="0" fontId="0" fillId="0" borderId="0" xfId="0" applyAlignment="1">
      <alignment horizontal="right"/>
    </xf>
    <xf numFmtId="0" fontId="1" fillId="5" borderId="2" xfId="0" applyFont="1" applyFill="1" applyBorder="1" applyAlignment="1">
      <alignment horizontal="center"/>
    </xf>
    <xf numFmtId="0" fontId="1" fillId="3" borderId="5" xfId="0" applyFont="1" applyFill="1" applyBorder="1" applyAlignment="1">
      <alignment vertical="center"/>
    </xf>
    <xf numFmtId="0" fontId="0" fillId="0" borderId="1" xfId="0" applyBorder="1"/>
    <xf numFmtId="0" fontId="0" fillId="0" borderId="14" xfId="0" applyBorder="1"/>
    <xf numFmtId="0" fontId="1" fillId="2" borderId="1" xfId="0" applyFont="1" applyFill="1" applyBorder="1" applyAlignment="1">
      <alignment horizontal="center"/>
    </xf>
    <xf numFmtId="0" fontId="1" fillId="3" borderId="13" xfId="0" applyFont="1" applyFill="1" applyBorder="1" applyAlignment="1">
      <alignment vertical="center"/>
    </xf>
    <xf numFmtId="0" fontId="0" fillId="0" borderId="1" xfId="0" applyBorder="1" applyAlignment="1">
      <alignment horizontal="right" vertical="center"/>
    </xf>
    <xf numFmtId="0" fontId="0" fillId="0" borderId="15" xfId="0" applyBorder="1" applyAlignment="1">
      <alignment horizontal="right" vertic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0" borderId="3" xfId="0" applyBorder="1"/>
    <xf numFmtId="0" fontId="0" fillId="2" borderId="11" xfId="0" applyFill="1" applyBorder="1"/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0" borderId="15" xfId="0" applyBorder="1" applyAlignment="1">
      <alignment horizontal="right"/>
    </xf>
    <xf numFmtId="0" fontId="0" fillId="6" borderId="0" xfId="0" applyFill="1"/>
    <xf numFmtId="0" fontId="0" fillId="0" borderId="15" xfId="0" applyBorder="1" applyAlignment="1">
      <alignment horizontal="left"/>
    </xf>
    <xf numFmtId="0" fontId="1" fillId="0" borderId="5" xfId="0" applyFont="1" applyBorder="1"/>
    <xf numFmtId="0" fontId="1" fillId="0" borderId="7" xfId="0" applyFont="1" applyBorder="1"/>
    <xf numFmtId="0" fontId="1" fillId="0" borderId="10" xfId="0" applyFont="1" applyBorder="1"/>
    <xf numFmtId="164" fontId="0" fillId="0" borderId="0" xfId="0" applyNumberFormat="1" applyAlignment="1">
      <alignment horizontal="right" vertical="center"/>
    </xf>
    <xf numFmtId="164" fontId="0" fillId="0" borderId="0" xfId="0" applyNumberFormat="1"/>
    <xf numFmtId="0" fontId="0" fillId="0" borderId="7" xfId="0" applyBorder="1" applyAlignment="1">
      <alignment horizontal="left"/>
    </xf>
    <xf numFmtId="0" fontId="0" fillId="0" borderId="14" xfId="0" applyBorder="1" applyAlignment="1">
      <alignment horizontal="right" vertical="center"/>
    </xf>
    <xf numFmtId="0" fontId="0" fillId="4" borderId="14" xfId="0" applyFill="1" applyBorder="1" applyAlignment="1">
      <alignment horizontal="left" vertical="center"/>
    </xf>
    <xf numFmtId="0" fontId="1" fillId="3" borderId="4" xfId="0" applyFont="1" applyFill="1" applyBorder="1" applyAlignment="1">
      <alignment horizontal="center" vertical="center"/>
    </xf>
    <xf numFmtId="164" fontId="0" fillId="0" borderId="4" xfId="0" applyNumberFormat="1" applyBorder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1" fillId="3" borderId="2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left" vertical="center"/>
    </xf>
    <xf numFmtId="0" fontId="0" fillId="4" borderId="15" xfId="0" applyFill="1" applyBorder="1" applyAlignment="1">
      <alignment horizontal="left" vertical="center"/>
    </xf>
    <xf numFmtId="164" fontId="0" fillId="0" borderId="1" xfId="0" applyNumberFormat="1" applyBorder="1" applyAlignment="1">
      <alignment horizontal="right" vertical="center"/>
    </xf>
    <xf numFmtId="164" fontId="0" fillId="0" borderId="15" xfId="0" applyNumberFormat="1" applyBorder="1" applyAlignment="1">
      <alignment horizontal="right" vertical="center"/>
    </xf>
    <xf numFmtId="2" fontId="0" fillId="0" borderId="15" xfId="0" applyNumberFormat="1" applyBorder="1" applyAlignment="1">
      <alignment horizontal="right" vertical="center"/>
    </xf>
    <xf numFmtId="1" fontId="0" fillId="0" borderId="15" xfId="0" applyNumberFormat="1" applyBorder="1" applyAlignment="1">
      <alignment horizontal="right" vertical="center"/>
    </xf>
    <xf numFmtId="164" fontId="0" fillId="0" borderId="9" xfId="0" applyNumberFormat="1" applyBorder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165" fontId="0" fillId="0" borderId="15" xfId="0" applyNumberFormat="1" applyBorder="1" applyAlignment="1">
      <alignment horizontal="right" vertical="center"/>
    </xf>
    <xf numFmtId="21" fontId="0" fillId="0" borderId="0" xfId="0" applyNumberFormat="1"/>
    <xf numFmtId="0" fontId="0" fillId="0" borderId="6" xfId="0" applyBorder="1" applyAlignment="1">
      <alignment horizontal="right"/>
    </xf>
    <xf numFmtId="14" fontId="0" fillId="0" borderId="0" xfId="0" applyNumberFormat="1"/>
    <xf numFmtId="0" fontId="1" fillId="3" borderId="2" xfId="0" applyFont="1" applyFill="1" applyBorder="1" applyAlignment="1">
      <alignment vertical="center"/>
    </xf>
    <xf numFmtId="164" fontId="0" fillId="0" borderId="1" xfId="0" applyNumberFormat="1" applyBorder="1"/>
    <xf numFmtId="164" fontId="0" fillId="0" borderId="15" xfId="0" applyNumberFormat="1" applyBorder="1"/>
    <xf numFmtId="2" fontId="0" fillId="0" borderId="15" xfId="0" applyNumberFormat="1" applyBorder="1"/>
    <xf numFmtId="165" fontId="0" fillId="0" borderId="15" xfId="0" applyNumberFormat="1" applyBorder="1"/>
    <xf numFmtId="164" fontId="0" fillId="0" borderId="15" xfId="0" applyNumberFormat="1" applyBorder="1" applyAlignment="1">
      <alignment horizontal="right"/>
    </xf>
    <xf numFmtId="1" fontId="0" fillId="0" borderId="15" xfId="0" applyNumberFormat="1" applyBorder="1"/>
    <xf numFmtId="164" fontId="0" fillId="0" borderId="14" xfId="0" applyNumberFormat="1" applyBorder="1"/>
    <xf numFmtId="0" fontId="1" fillId="0" borderId="1" xfId="0" applyFont="1" applyBorder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1" fillId="0" borderId="14" xfId="0" applyFont="1" applyBorder="1" applyAlignment="1">
      <alignment horizontal="left" vertical="center"/>
    </xf>
    <xf numFmtId="164" fontId="6" fillId="0" borderId="15" xfId="0" applyNumberFormat="1" applyFont="1" applyBorder="1" applyAlignment="1">
      <alignment horizontal="right" vertical="center"/>
    </xf>
    <xf numFmtId="0" fontId="1" fillId="0" borderId="15" xfId="0" applyFont="1" applyBorder="1"/>
    <xf numFmtId="0" fontId="0" fillId="0" borderId="12" xfId="0" applyFont="1" applyBorder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connections" Target="connections.xml"/><Relationship Id="rId10" Type="http://schemas.openxmlformats.org/officeDocument/2006/relationships/calcChain" Target="calcChain.xml"/><Relationship Id="rId4" Type="http://schemas.openxmlformats.org/officeDocument/2006/relationships/theme" Target="theme/theme1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15</xdr:row>
      <xdr:rowOff>93906</xdr:rowOff>
    </xdr:from>
    <xdr:to>
      <xdr:col>8</xdr:col>
      <xdr:colOff>632460</xdr:colOff>
      <xdr:row>15</xdr:row>
      <xdr:rowOff>93906</xdr:rowOff>
    </xdr:to>
    <xdr:cxnSp macro="">
      <xdr:nvCxnSpPr>
        <xdr:cNvPr id="4" name="Connettore 2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4701988" y="2321635"/>
          <a:ext cx="632460" cy="0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419100</xdr:colOff>
      <xdr:row>14</xdr:row>
      <xdr:rowOff>1</xdr:rowOff>
    </xdr:from>
    <xdr:to>
      <xdr:col>8</xdr:col>
      <xdr:colOff>9524</xdr:colOff>
      <xdr:row>18</xdr:row>
      <xdr:rowOff>23154</xdr:rowOff>
    </xdr:to>
    <xdr:sp macro="" textlink="">
      <xdr:nvSpPr>
        <xdr:cNvPr id="3" name="Parentesi quadra chiusa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385560" y="2423161"/>
          <a:ext cx="85724" cy="777533"/>
        </a:xfrm>
        <a:prstGeom prst="rightBracket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8</xdr:col>
      <xdr:colOff>0</xdr:colOff>
      <xdr:row>15</xdr:row>
      <xdr:rowOff>93906</xdr:rowOff>
    </xdr:from>
    <xdr:to>
      <xdr:col>8</xdr:col>
      <xdr:colOff>632460</xdr:colOff>
      <xdr:row>15</xdr:row>
      <xdr:rowOff>93906</xdr:rowOff>
    </xdr:to>
    <xdr:cxnSp macro="">
      <xdr:nvCxnSpPr>
        <xdr:cNvPr id="2" name="Connettore 2 1">
          <a:extLst>
            <a:ext uri="{FF2B5EF4-FFF2-40B4-BE49-F238E27FC236}">
              <a16:creationId xmlns:a16="http://schemas.microsoft.com/office/drawing/2014/main" id="{DC460E4C-8AAE-4075-8A41-A6D519C727E2}"/>
            </a:ext>
          </a:extLst>
        </xdr:cNvPr>
        <xdr:cNvCxnSpPr/>
      </xdr:nvCxnSpPr>
      <xdr:spPr>
        <a:xfrm>
          <a:off x="5760720" y="2711376"/>
          <a:ext cx="632460" cy="0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83</xdr:row>
          <xdr:rowOff>15240</xdr:rowOff>
        </xdr:from>
        <xdr:to>
          <xdr:col>4</xdr:col>
          <xdr:colOff>1127760</xdr:colOff>
          <xdr:row>86</xdr:row>
          <xdr:rowOff>175260</xdr:rowOff>
        </xdr:to>
        <xdr:sp macro="" textlink="">
          <xdr:nvSpPr>
            <xdr:cNvPr id="1027" name="Button 3" descr="Run vmc.exe&#10;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Run vmc.exe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15240</xdr:colOff>
      <xdr:row>44</xdr:row>
      <xdr:rowOff>7620</xdr:rowOff>
    </xdr:from>
    <xdr:ext cx="65" cy="172227"/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95EB4A1-C18B-4577-F030-DD065401E557}"/>
            </a:ext>
          </a:extLst>
        </xdr:cNvPr>
        <xdr:cNvSpPr txBox="1"/>
      </xdr:nvSpPr>
      <xdr:spPr>
        <a:xfrm>
          <a:off x="762000" y="82067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100"/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14D18-1532-4736-9181-9EDB763C881B}">
  <sheetPr codeName="Foglio1"/>
  <dimension ref="D2:R87"/>
  <sheetViews>
    <sheetView tabSelected="1" topLeftCell="C69" zoomScale="85" zoomScaleNormal="85" workbookViewId="0">
      <selection activeCell="J83" sqref="J83"/>
    </sheetView>
  </sheetViews>
  <sheetFormatPr defaultRowHeight="14.4" x14ac:dyDescent="0.55000000000000004"/>
  <cols>
    <col min="1" max="1" width="2" customWidth="1"/>
    <col min="2" max="2" width="3.7890625" customWidth="1"/>
    <col min="3" max="3" width="4.5234375" customWidth="1"/>
    <col min="4" max="4" width="39.734375" customWidth="1"/>
    <col min="5" max="5" width="19.89453125" customWidth="1"/>
    <col min="6" max="6" width="21.3671875" customWidth="1"/>
    <col min="7" max="7" width="17.20703125" customWidth="1"/>
    <col min="8" max="8" width="11.20703125" customWidth="1"/>
    <col min="9" max="9" width="9.05078125" customWidth="1"/>
    <col min="10" max="10" width="13.47265625" customWidth="1"/>
    <col min="11" max="11" width="10.62890625" customWidth="1"/>
    <col min="12" max="12" width="10.83984375" customWidth="1"/>
    <col min="15" max="15" width="18.89453125" bestFit="1" customWidth="1"/>
    <col min="16" max="16" width="11.47265625" bestFit="1" customWidth="1"/>
  </cols>
  <sheetData>
    <row r="2" spans="4:18" ht="14.7" thickBot="1" x14ac:dyDescent="0.6">
      <c r="E2" s="21" t="s">
        <v>79</v>
      </c>
      <c r="F2" s="21" t="s">
        <v>80</v>
      </c>
      <c r="G2" s="21" t="s">
        <v>116</v>
      </c>
    </row>
    <row r="3" spans="4:18" ht="14.7" thickBot="1" x14ac:dyDescent="0.6">
      <c r="D3" s="54" t="s">
        <v>68</v>
      </c>
      <c r="E3" s="50" t="s">
        <v>61</v>
      </c>
      <c r="F3" s="18" t="s">
        <v>99</v>
      </c>
      <c r="G3" s="67" t="s">
        <v>101</v>
      </c>
      <c r="H3" s="24" t="s">
        <v>117</v>
      </c>
      <c r="I3" s="31" t="s">
        <v>35</v>
      </c>
      <c r="J3" s="32"/>
      <c r="K3" s="32"/>
      <c r="L3" s="32"/>
      <c r="M3" s="32"/>
      <c r="N3" s="33"/>
    </row>
    <row r="4" spans="4:18" x14ac:dyDescent="0.55000000000000004">
      <c r="D4" s="55" t="s">
        <v>41</v>
      </c>
      <c r="E4" s="51">
        <v>4.6539999999999999</v>
      </c>
      <c r="F4" s="57">
        <v>3.3109999999999999</v>
      </c>
      <c r="G4" s="68">
        <f>E4</f>
        <v>4.6539999999999999</v>
      </c>
      <c r="H4" s="42" t="s">
        <v>20</v>
      </c>
      <c r="I4" s="34"/>
      <c r="K4" s="9"/>
      <c r="L4" s="9"/>
      <c r="M4" s="9"/>
      <c r="N4" s="2"/>
    </row>
    <row r="5" spans="4:18" x14ac:dyDescent="0.55000000000000004">
      <c r="D5" s="56" t="s">
        <v>1</v>
      </c>
      <c r="E5" s="45">
        <v>3</v>
      </c>
      <c r="F5" s="58">
        <f>6.022/3.281</f>
        <v>1.8354160316976531</v>
      </c>
      <c r="G5" s="69">
        <v>3</v>
      </c>
      <c r="H5" s="43" t="s">
        <v>20</v>
      </c>
      <c r="I5" s="16"/>
      <c r="N5" s="3"/>
    </row>
    <row r="6" spans="4:18" ht="14.7" thickBot="1" x14ac:dyDescent="0.6">
      <c r="D6" s="56" t="s">
        <v>2</v>
      </c>
      <c r="E6" s="45">
        <v>34.46</v>
      </c>
      <c r="F6" s="58">
        <v>27.07</v>
      </c>
      <c r="G6" s="69">
        <v>29.79</v>
      </c>
      <c r="H6" s="43" t="s">
        <v>20</v>
      </c>
      <c r="I6" s="16"/>
      <c r="N6" s="3"/>
    </row>
    <row r="7" spans="4:18" ht="14.7" thickBot="1" x14ac:dyDescent="0.6">
      <c r="D7" s="56" t="s">
        <v>119</v>
      </c>
      <c r="E7" s="45">
        <f>PI()*1.91*3.99</f>
        <v>23.941763453742453</v>
      </c>
      <c r="F7" s="58">
        <f>63.754/(3.281^2)</f>
        <v>5.9223623754884009</v>
      </c>
      <c r="G7" s="69">
        <v>11.506</v>
      </c>
      <c r="H7" s="43" t="s">
        <v>21</v>
      </c>
      <c r="I7" s="6" t="s">
        <v>42</v>
      </c>
      <c r="J7" s="10"/>
      <c r="K7" s="5"/>
      <c r="N7" s="3"/>
    </row>
    <row r="8" spans="4:18" x14ac:dyDescent="0.55000000000000004">
      <c r="D8" s="56" t="s">
        <v>47</v>
      </c>
      <c r="E8" s="45">
        <v>373.5</v>
      </c>
      <c r="F8" s="58">
        <v>135.69999999999999</v>
      </c>
      <c r="G8" s="69">
        <v>307</v>
      </c>
      <c r="H8" s="43" t="s">
        <v>48</v>
      </c>
      <c r="I8" s="16"/>
      <c r="N8" s="3"/>
    </row>
    <row r="9" spans="4:18" x14ac:dyDescent="0.55000000000000004">
      <c r="D9" s="56" t="s">
        <v>3</v>
      </c>
      <c r="E9" s="45">
        <v>50.63</v>
      </c>
      <c r="F9" s="58">
        <v>11.56</v>
      </c>
      <c r="G9" s="69">
        <f t="shared" ref="G9:G30" si="0">E9</f>
        <v>50.63</v>
      </c>
      <c r="H9" s="43" t="s">
        <v>21</v>
      </c>
      <c r="I9" s="16"/>
      <c r="N9" s="3"/>
    </row>
    <row r="10" spans="4:18" x14ac:dyDescent="0.55000000000000004">
      <c r="D10" s="56" t="s">
        <v>4</v>
      </c>
      <c r="E10" s="45">
        <v>16.05</v>
      </c>
      <c r="F10" s="58">
        <v>7.31</v>
      </c>
      <c r="G10" s="69">
        <f t="shared" si="0"/>
        <v>16.05</v>
      </c>
      <c r="H10" s="43" t="s">
        <v>20</v>
      </c>
      <c r="I10" s="16"/>
      <c r="N10" s="3"/>
    </row>
    <row r="11" spans="4:18" ht="14.7" thickBot="1" x14ac:dyDescent="0.6">
      <c r="D11" s="56" t="s">
        <v>5</v>
      </c>
      <c r="E11" s="45">
        <v>3.4369999999999998</v>
      </c>
      <c r="F11" s="58">
        <v>4.726</v>
      </c>
      <c r="G11" s="69">
        <f t="shared" si="0"/>
        <v>3.4369999999999998</v>
      </c>
      <c r="H11" s="43" t="s">
        <v>22</v>
      </c>
      <c r="I11" s="16"/>
      <c r="N11" s="3"/>
      <c r="P11" s="46"/>
      <c r="Q11" s="46"/>
      <c r="R11" s="46"/>
    </row>
    <row r="12" spans="4:18" ht="14.7" thickBot="1" x14ac:dyDescent="0.6">
      <c r="D12" s="56" t="s">
        <v>33</v>
      </c>
      <c r="E12" s="45">
        <v>1.68</v>
      </c>
      <c r="F12" s="58">
        <f>15.587/3.281</f>
        <v>4.750685766534593</v>
      </c>
      <c r="G12" s="69">
        <f t="shared" si="0"/>
        <v>1.68</v>
      </c>
      <c r="H12" s="43" t="s">
        <v>20</v>
      </c>
      <c r="I12" s="6" t="s">
        <v>34</v>
      </c>
      <c r="J12" s="10"/>
      <c r="K12" s="10"/>
      <c r="L12" s="5"/>
      <c r="N12" s="3"/>
      <c r="P12" s="46"/>
      <c r="Q12" s="46"/>
      <c r="R12" s="46"/>
    </row>
    <row r="13" spans="4:18" x14ac:dyDescent="0.55000000000000004">
      <c r="D13" s="56" t="s">
        <v>100</v>
      </c>
      <c r="E13" s="52">
        <v>0.85</v>
      </c>
      <c r="F13" s="59">
        <v>1</v>
      </c>
      <c r="G13" s="70">
        <f t="shared" si="0"/>
        <v>0.85</v>
      </c>
      <c r="H13" s="43"/>
      <c r="I13" s="16"/>
      <c r="N13" s="3"/>
      <c r="P13" s="46"/>
      <c r="Q13" s="46"/>
      <c r="R13" s="46"/>
    </row>
    <row r="14" spans="4:18" x14ac:dyDescent="0.55000000000000004">
      <c r="D14" s="56" t="s">
        <v>6</v>
      </c>
      <c r="E14" s="45">
        <v>0.25</v>
      </c>
      <c r="F14" s="58">
        <v>0.25</v>
      </c>
      <c r="G14" s="69">
        <f t="shared" si="0"/>
        <v>0.25</v>
      </c>
      <c r="H14" s="43"/>
      <c r="I14" s="16"/>
      <c r="N14" s="3"/>
      <c r="P14" s="46"/>
      <c r="Q14" s="46"/>
      <c r="R14" s="46"/>
    </row>
    <row r="15" spans="4:18" ht="14.7" thickBot="1" x14ac:dyDescent="0.6">
      <c r="D15" s="56" t="s">
        <v>7</v>
      </c>
      <c r="E15" s="45">
        <v>7.0410000000000004</v>
      </c>
      <c r="F15" s="58">
        <v>4.468</v>
      </c>
      <c r="G15" s="69">
        <f t="shared" si="0"/>
        <v>7.0410000000000004</v>
      </c>
      <c r="H15" s="43" t="s">
        <v>20</v>
      </c>
      <c r="I15" s="16"/>
      <c r="N15" s="3"/>
    </row>
    <row r="16" spans="4:18" ht="14.7" thickBot="1" x14ac:dyDescent="0.6">
      <c r="D16" s="56" t="s">
        <v>8</v>
      </c>
      <c r="E16" s="45">
        <v>17</v>
      </c>
      <c r="F16" s="58">
        <v>38.47</v>
      </c>
      <c r="G16" s="69">
        <f t="shared" si="0"/>
        <v>17</v>
      </c>
      <c r="H16" s="43" t="s">
        <v>22</v>
      </c>
      <c r="I16" s="16"/>
      <c r="J16" s="6" t="s">
        <v>31</v>
      </c>
      <c r="K16" s="7" cm="1">
        <f t="array" aca="1" ref="K16" ca="1">(INDIRECT(E65&amp;"17")+INDIRECT(E65&amp;"18"))*INDIRECT(E65&amp;"15")/2</f>
        <v>28.51605</v>
      </c>
      <c r="L16" s="5" t="s">
        <v>21</v>
      </c>
      <c r="N16" s="3"/>
    </row>
    <row r="17" spans="4:17" x14ac:dyDescent="0.55000000000000004">
      <c r="D17" s="56" t="s">
        <v>9</v>
      </c>
      <c r="E17" s="45">
        <v>6.3</v>
      </c>
      <c r="F17" s="58">
        <v>4.7699999999999996</v>
      </c>
      <c r="G17" s="69">
        <f t="shared" si="0"/>
        <v>6.3</v>
      </c>
      <c r="H17" s="43" t="s">
        <v>20</v>
      </c>
      <c r="I17" s="16"/>
      <c r="N17" s="3"/>
    </row>
    <row r="18" spans="4:17" ht="14.7" thickBot="1" x14ac:dyDescent="0.6">
      <c r="D18" s="56" t="s">
        <v>10</v>
      </c>
      <c r="E18" s="45">
        <v>1.8</v>
      </c>
      <c r="F18" s="58">
        <v>1.91</v>
      </c>
      <c r="G18" s="69">
        <f t="shared" si="0"/>
        <v>1.8</v>
      </c>
      <c r="H18" s="43" t="s">
        <v>20</v>
      </c>
      <c r="I18" s="16"/>
      <c r="N18" s="3"/>
    </row>
    <row r="19" spans="4:17" ht="14.7" thickBot="1" x14ac:dyDescent="0.6">
      <c r="D19" s="56" t="s">
        <v>11</v>
      </c>
      <c r="E19" s="45">
        <v>3.0569999999999999</v>
      </c>
      <c r="F19" s="58">
        <f>4.792/3.281</f>
        <v>1.4605303261200853</v>
      </c>
      <c r="G19" s="69">
        <f t="shared" si="0"/>
        <v>3.0569999999999999</v>
      </c>
      <c r="H19" s="43" t="s">
        <v>20</v>
      </c>
      <c r="I19" s="6" t="s">
        <v>25</v>
      </c>
      <c r="J19" s="10"/>
      <c r="K19" s="10"/>
      <c r="L19" s="5"/>
      <c r="N19" s="3"/>
    </row>
    <row r="20" spans="4:17" ht="14.7" thickBot="1" x14ac:dyDescent="0.6">
      <c r="D20" s="56" t="s">
        <v>12</v>
      </c>
      <c r="E20" s="45">
        <v>16.5</v>
      </c>
      <c r="F20" s="58">
        <f>35.52/3.281</f>
        <v>10.825967692776594</v>
      </c>
      <c r="G20" s="69">
        <f t="shared" si="0"/>
        <v>16.5</v>
      </c>
      <c r="H20" s="43" t="s">
        <v>20</v>
      </c>
      <c r="I20" s="6" t="s">
        <v>24</v>
      </c>
      <c r="J20" s="10"/>
      <c r="K20" s="10"/>
      <c r="L20" s="5"/>
      <c r="N20" s="3"/>
    </row>
    <row r="21" spans="4:17" x14ac:dyDescent="0.55000000000000004">
      <c r="D21" s="56" t="s">
        <v>13</v>
      </c>
      <c r="E21" s="62">
        <v>30</v>
      </c>
      <c r="F21" s="63">
        <v>30</v>
      </c>
      <c r="G21" s="71">
        <f t="shared" si="0"/>
        <v>30</v>
      </c>
      <c r="H21" s="43" t="s">
        <v>22</v>
      </c>
      <c r="I21" s="16"/>
      <c r="N21" s="3"/>
    </row>
    <row r="22" spans="4:17" x14ac:dyDescent="0.55000000000000004">
      <c r="D22" s="56" t="s">
        <v>56</v>
      </c>
      <c r="E22" s="62">
        <v>100</v>
      </c>
      <c r="F22" s="63">
        <v>75</v>
      </c>
      <c r="G22" s="71">
        <f t="shared" si="0"/>
        <v>100</v>
      </c>
      <c r="H22" s="43" t="s">
        <v>49</v>
      </c>
      <c r="I22" s="16"/>
      <c r="N22" s="3"/>
    </row>
    <row r="23" spans="4:17" x14ac:dyDescent="0.55000000000000004">
      <c r="D23" s="56" t="s">
        <v>57</v>
      </c>
      <c r="E23" s="45">
        <v>8</v>
      </c>
      <c r="F23" s="58">
        <v>8</v>
      </c>
      <c r="G23" s="69">
        <f t="shared" si="0"/>
        <v>8</v>
      </c>
      <c r="H23" s="43" t="s">
        <v>49</v>
      </c>
      <c r="I23" s="16"/>
      <c r="N23" s="3"/>
    </row>
    <row r="24" spans="4:17" x14ac:dyDescent="0.55000000000000004">
      <c r="D24" s="56" t="s">
        <v>14</v>
      </c>
      <c r="E24" s="45">
        <v>162</v>
      </c>
      <c r="F24" s="58">
        <v>61</v>
      </c>
      <c r="G24" s="69">
        <f t="shared" si="0"/>
        <v>162</v>
      </c>
      <c r="H24" s="43" t="s">
        <v>21</v>
      </c>
      <c r="I24" s="16"/>
      <c r="N24" s="3"/>
    </row>
    <row r="25" spans="4:17" x14ac:dyDescent="0.55000000000000004">
      <c r="D25" s="56" t="s">
        <v>15</v>
      </c>
      <c r="E25" s="45">
        <v>40.409999999999997</v>
      </c>
      <c r="F25" s="58">
        <v>27.05</v>
      </c>
      <c r="G25" s="69">
        <f t="shared" si="0"/>
        <v>40.409999999999997</v>
      </c>
      <c r="H25" s="43" t="s">
        <v>20</v>
      </c>
      <c r="I25" s="16"/>
      <c r="N25" s="3"/>
    </row>
    <row r="26" spans="4:17" ht="14.7" thickBot="1" x14ac:dyDescent="0.6">
      <c r="D26" s="56" t="s">
        <v>16</v>
      </c>
      <c r="E26" s="45">
        <v>1.85</v>
      </c>
      <c r="F26" s="58">
        <v>0.42</v>
      </c>
      <c r="G26" s="69">
        <f t="shared" si="0"/>
        <v>1.85</v>
      </c>
      <c r="H26" s="43" t="s">
        <v>22</v>
      </c>
      <c r="I26" s="16"/>
      <c r="N26" s="3"/>
      <c r="O26" s="1"/>
      <c r="P26" s="1"/>
      <c r="Q26" s="1"/>
    </row>
    <row r="27" spans="4:17" ht="14.7" thickBot="1" x14ac:dyDescent="0.6">
      <c r="D27" s="56" t="s">
        <v>17</v>
      </c>
      <c r="E27" s="45">
        <v>-2.419</v>
      </c>
      <c r="F27" s="58">
        <f>-5.2/3.281</f>
        <v>-1.5848826577263029</v>
      </c>
      <c r="G27" s="69">
        <f t="shared" si="0"/>
        <v>-2.419</v>
      </c>
      <c r="H27" s="43" t="s">
        <v>20</v>
      </c>
      <c r="I27" s="34" t="s">
        <v>26</v>
      </c>
      <c r="J27" s="9"/>
      <c r="K27" s="9"/>
      <c r="L27" s="9"/>
      <c r="M27" s="9"/>
      <c r="N27" s="2"/>
      <c r="O27" s="1"/>
      <c r="P27" s="1"/>
      <c r="Q27" s="1"/>
    </row>
    <row r="28" spans="4:17" x14ac:dyDescent="0.55000000000000004">
      <c r="D28" s="56" t="s">
        <v>23</v>
      </c>
      <c r="E28" s="45">
        <v>1</v>
      </c>
      <c r="F28" s="58">
        <v>3.6</v>
      </c>
      <c r="G28" s="69">
        <f t="shared" si="0"/>
        <v>1</v>
      </c>
      <c r="H28" s="43" t="s">
        <v>22</v>
      </c>
      <c r="I28" s="25" t="s">
        <v>36</v>
      </c>
      <c r="J28" t="s">
        <v>37</v>
      </c>
      <c r="N28" s="3"/>
      <c r="O28" s="1"/>
      <c r="P28" s="1"/>
      <c r="Q28" s="1"/>
    </row>
    <row r="29" spans="4:17" ht="14.7" thickBot="1" x14ac:dyDescent="0.6">
      <c r="D29" s="56" t="s">
        <v>18</v>
      </c>
      <c r="E29" s="45">
        <v>20</v>
      </c>
      <c r="F29" s="58">
        <v>20</v>
      </c>
      <c r="G29" s="69">
        <f t="shared" si="0"/>
        <v>20</v>
      </c>
      <c r="H29" s="43" t="s">
        <v>22</v>
      </c>
      <c r="I29" s="11" t="s">
        <v>36</v>
      </c>
      <c r="J29" s="8" t="s">
        <v>38</v>
      </c>
      <c r="K29" s="8"/>
      <c r="L29" s="8"/>
      <c r="M29" s="8"/>
      <c r="N29" s="4"/>
      <c r="O29" s="1"/>
      <c r="P29" s="12"/>
      <c r="Q29" s="1"/>
    </row>
    <row r="30" spans="4:17" ht="14.7" thickBot="1" x14ac:dyDescent="0.6">
      <c r="D30" s="56" t="s">
        <v>43</v>
      </c>
      <c r="E30" s="45">
        <v>0.52</v>
      </c>
      <c r="F30" s="58">
        <v>0.5786</v>
      </c>
      <c r="G30" s="69">
        <f t="shared" si="0"/>
        <v>0.52</v>
      </c>
      <c r="H30" s="43"/>
      <c r="I30" s="16"/>
      <c r="N30" s="3"/>
      <c r="O30" s="1"/>
      <c r="P30" s="1"/>
      <c r="Q30" s="1"/>
    </row>
    <row r="31" spans="4:17" ht="14.7" thickBot="1" x14ac:dyDescent="0.6">
      <c r="D31" s="56" t="s">
        <v>44</v>
      </c>
      <c r="E31" s="45">
        <v>14</v>
      </c>
      <c r="F31" s="58">
        <v>11.645</v>
      </c>
      <c r="G31" s="69">
        <v>11.5</v>
      </c>
      <c r="H31" s="43" t="s">
        <v>20</v>
      </c>
      <c r="I31" s="6" t="s">
        <v>45</v>
      </c>
      <c r="J31" s="10"/>
      <c r="K31" s="5"/>
      <c r="N31" s="3"/>
      <c r="O31" s="1"/>
      <c r="P31" s="1"/>
      <c r="Q31" s="1"/>
    </row>
    <row r="32" spans="4:17" x14ac:dyDescent="0.55000000000000004">
      <c r="D32" s="56" t="s">
        <v>46</v>
      </c>
      <c r="E32" s="45">
        <v>3</v>
      </c>
      <c r="F32" s="58">
        <v>0</v>
      </c>
      <c r="G32" s="69">
        <f t="shared" ref="G32:G49" si="1">E32</f>
        <v>3</v>
      </c>
      <c r="H32" s="43" t="s">
        <v>22</v>
      </c>
      <c r="I32" s="16"/>
      <c r="N32" s="3"/>
      <c r="O32" s="1"/>
      <c r="P32" s="1"/>
      <c r="Q32" s="1"/>
    </row>
    <row r="33" spans="4:17" x14ac:dyDescent="0.55000000000000004">
      <c r="D33" s="56" t="s">
        <v>50</v>
      </c>
      <c r="E33" s="45">
        <v>8</v>
      </c>
      <c r="F33" s="58">
        <v>8</v>
      </c>
      <c r="G33" s="69">
        <f t="shared" si="1"/>
        <v>8</v>
      </c>
      <c r="H33" s="43" t="s">
        <v>49</v>
      </c>
      <c r="I33" s="16"/>
      <c r="N33" s="3"/>
      <c r="O33" s="1"/>
      <c r="P33" s="1"/>
      <c r="Q33" s="1"/>
    </row>
    <row r="34" spans="4:17" x14ac:dyDescent="0.55000000000000004">
      <c r="D34" s="56" t="s">
        <v>51</v>
      </c>
      <c r="E34" s="45">
        <v>0.25</v>
      </c>
      <c r="F34" s="58">
        <v>0.2</v>
      </c>
      <c r="G34" s="69">
        <f t="shared" si="1"/>
        <v>0.25</v>
      </c>
      <c r="H34" s="43"/>
      <c r="I34" s="16"/>
      <c r="N34" s="3"/>
      <c r="O34" s="1"/>
      <c r="P34" s="1"/>
      <c r="Q34" s="1"/>
    </row>
    <row r="35" spans="4:17" x14ac:dyDescent="0.55000000000000004">
      <c r="D35" s="56" t="s">
        <v>53</v>
      </c>
      <c r="E35" s="45">
        <v>6</v>
      </c>
      <c r="F35" s="58">
        <v>6</v>
      </c>
      <c r="G35" s="69">
        <f t="shared" si="1"/>
        <v>6</v>
      </c>
      <c r="H35" s="43" t="s">
        <v>52</v>
      </c>
      <c r="I35" s="16"/>
      <c r="N35" s="3"/>
      <c r="O35" s="1"/>
      <c r="P35" s="1"/>
      <c r="Q35" s="1"/>
    </row>
    <row r="36" spans="4:17" x14ac:dyDescent="0.55000000000000004">
      <c r="D36" s="56" t="s">
        <v>54</v>
      </c>
      <c r="E36" s="45">
        <v>70</v>
      </c>
      <c r="F36" s="58">
        <v>75</v>
      </c>
      <c r="G36" s="69">
        <f t="shared" si="1"/>
        <v>70</v>
      </c>
      <c r="H36" s="43" t="s">
        <v>49</v>
      </c>
      <c r="I36" s="16"/>
      <c r="N36" s="3"/>
      <c r="O36" s="1"/>
      <c r="P36" s="1"/>
      <c r="Q36" s="1"/>
    </row>
    <row r="37" spans="4:17" x14ac:dyDescent="0.55000000000000004">
      <c r="D37" s="56" t="s">
        <v>55</v>
      </c>
      <c r="E37" s="45">
        <v>98</v>
      </c>
      <c r="F37" s="58">
        <v>98</v>
      </c>
      <c r="G37" s="69">
        <f t="shared" si="1"/>
        <v>98</v>
      </c>
      <c r="H37" s="43" t="s">
        <v>49</v>
      </c>
      <c r="I37" s="16"/>
      <c r="N37" s="3"/>
      <c r="O37" s="1"/>
      <c r="P37" s="1"/>
      <c r="Q37" s="1"/>
    </row>
    <row r="38" spans="4:17" x14ac:dyDescent="0.55000000000000004">
      <c r="D38" s="56" t="s">
        <v>60</v>
      </c>
      <c r="E38" s="45">
        <v>2.1</v>
      </c>
      <c r="F38" s="58">
        <v>2.1</v>
      </c>
      <c r="G38" s="69">
        <f t="shared" si="1"/>
        <v>2.1</v>
      </c>
      <c r="H38" s="43"/>
      <c r="I38" s="65"/>
      <c r="N38" s="3"/>
    </row>
    <row r="39" spans="4:17" ht="14.7" thickBot="1" x14ac:dyDescent="0.6">
      <c r="D39" s="56" t="s">
        <v>102</v>
      </c>
      <c r="E39" s="45">
        <v>0.9</v>
      </c>
      <c r="F39" s="78"/>
      <c r="G39" s="69">
        <f t="shared" si="1"/>
        <v>0.9</v>
      </c>
      <c r="H39" s="43"/>
      <c r="I39" s="16"/>
      <c r="N39" s="3"/>
    </row>
    <row r="40" spans="4:17" ht="14.7" thickBot="1" x14ac:dyDescent="0.6">
      <c r="D40" s="56" t="s">
        <v>71</v>
      </c>
      <c r="E40" s="45" t="s">
        <v>66</v>
      </c>
      <c r="F40" s="58" t="s">
        <v>66</v>
      </c>
      <c r="G40" s="72" t="str">
        <f t="shared" si="1"/>
        <v>TP</v>
      </c>
      <c r="H40" s="43"/>
      <c r="I40" s="6" t="s">
        <v>67</v>
      </c>
      <c r="J40" s="5"/>
      <c r="N40" s="3"/>
    </row>
    <row r="41" spans="4:17" x14ac:dyDescent="0.55000000000000004">
      <c r="D41" s="56" t="s">
        <v>19</v>
      </c>
      <c r="E41" s="53">
        <v>4</v>
      </c>
      <c r="F41" s="60">
        <v>2</v>
      </c>
      <c r="G41" s="73">
        <f t="shared" si="1"/>
        <v>4</v>
      </c>
      <c r="H41" s="43"/>
      <c r="I41" s="16"/>
      <c r="N41" s="3"/>
    </row>
    <row r="42" spans="4:17" x14ac:dyDescent="0.55000000000000004">
      <c r="D42" s="56" t="s">
        <v>40</v>
      </c>
      <c r="E42" s="45">
        <v>1.2130000000000001</v>
      </c>
      <c r="F42" s="58">
        <v>1.0629999999999999</v>
      </c>
      <c r="G42" s="69">
        <f t="shared" si="1"/>
        <v>1.2130000000000001</v>
      </c>
      <c r="H42" s="43" t="s">
        <v>20</v>
      </c>
      <c r="I42" s="16"/>
      <c r="N42" s="3"/>
    </row>
    <row r="43" spans="4:17" ht="14.7" thickBot="1" x14ac:dyDescent="0.6">
      <c r="D43" s="56" t="s">
        <v>27</v>
      </c>
      <c r="E43" s="53">
        <v>54000</v>
      </c>
      <c r="F43" s="60">
        <v>32700</v>
      </c>
      <c r="G43" s="73">
        <f t="shared" si="1"/>
        <v>54000</v>
      </c>
      <c r="H43" s="43" t="s">
        <v>28</v>
      </c>
      <c r="I43" s="16"/>
      <c r="N43" s="3"/>
    </row>
    <row r="44" spans="4:17" ht="14.7" thickBot="1" x14ac:dyDescent="0.6">
      <c r="D44" s="56" t="s">
        <v>29</v>
      </c>
      <c r="E44" s="45">
        <v>10.17</v>
      </c>
      <c r="F44" s="58">
        <v>4.05</v>
      </c>
      <c r="G44" s="69">
        <f t="shared" si="1"/>
        <v>10.17</v>
      </c>
      <c r="H44" s="43" t="s">
        <v>20</v>
      </c>
      <c r="I44" s="6" t="s">
        <v>30</v>
      </c>
      <c r="J44" s="10"/>
      <c r="K44" s="5"/>
      <c r="M44" t="s">
        <v>39</v>
      </c>
      <c r="N44" s="3"/>
    </row>
    <row r="45" spans="4:17" ht="14.7" thickBot="1" x14ac:dyDescent="0.6">
      <c r="D45" s="56" t="s">
        <v>103</v>
      </c>
      <c r="E45" s="45">
        <v>0.49</v>
      </c>
      <c r="F45" s="58"/>
      <c r="G45" s="69">
        <f t="shared" si="1"/>
        <v>0.49</v>
      </c>
      <c r="H45" s="43"/>
      <c r="I45" s="17" t="s">
        <v>104</v>
      </c>
      <c r="J45" s="4"/>
      <c r="N45" s="3"/>
    </row>
    <row r="46" spans="4:17" x14ac:dyDescent="0.55000000000000004">
      <c r="D46" s="56" t="s">
        <v>112</v>
      </c>
      <c r="E46" s="45">
        <v>60</v>
      </c>
      <c r="F46" s="58"/>
      <c r="G46" s="69">
        <f t="shared" si="1"/>
        <v>60</v>
      </c>
      <c r="H46" s="43" t="s">
        <v>113</v>
      </c>
      <c r="I46" s="16"/>
      <c r="N46" s="3"/>
    </row>
    <row r="47" spans="4:17" x14ac:dyDescent="0.55000000000000004">
      <c r="D47" s="56" t="s">
        <v>114</v>
      </c>
      <c r="E47" s="45">
        <v>35000</v>
      </c>
      <c r="F47" s="58"/>
      <c r="G47" s="69">
        <f t="shared" si="1"/>
        <v>35000</v>
      </c>
      <c r="H47" s="43" t="s">
        <v>59</v>
      </c>
      <c r="I47" s="16"/>
      <c r="N47" s="3"/>
    </row>
    <row r="48" spans="4:17" x14ac:dyDescent="0.55000000000000004">
      <c r="D48" s="56" t="s">
        <v>107</v>
      </c>
      <c r="E48" s="45">
        <v>7.4999999999999997E-2</v>
      </c>
      <c r="F48" s="58"/>
      <c r="G48" s="69">
        <f t="shared" si="1"/>
        <v>7.4999999999999997E-2</v>
      </c>
      <c r="H48" s="43"/>
      <c r="I48" s="16"/>
      <c r="N48" s="3"/>
    </row>
    <row r="49" spans="4:14" x14ac:dyDescent="0.55000000000000004">
      <c r="D49" s="56" t="s">
        <v>108</v>
      </c>
      <c r="E49" s="45">
        <v>0.8</v>
      </c>
      <c r="F49" s="58"/>
      <c r="G49" s="69">
        <f t="shared" si="1"/>
        <v>0.8</v>
      </c>
      <c r="H49" s="43"/>
      <c r="I49" s="16"/>
      <c r="N49" s="3"/>
    </row>
    <row r="50" spans="4:14" x14ac:dyDescent="0.55000000000000004">
      <c r="D50" s="56" t="s">
        <v>109</v>
      </c>
      <c r="E50" s="45">
        <v>1</v>
      </c>
      <c r="F50" s="11"/>
      <c r="G50" s="69">
        <f t="shared" ref="G50:G51" si="2">E50</f>
        <v>1</v>
      </c>
      <c r="H50" s="43" t="s">
        <v>20</v>
      </c>
      <c r="I50" s="16"/>
      <c r="N50" s="3"/>
    </row>
    <row r="51" spans="4:14" x14ac:dyDescent="0.55000000000000004">
      <c r="D51" s="56" t="s">
        <v>110</v>
      </c>
      <c r="E51" s="45">
        <v>11</v>
      </c>
      <c r="F51" s="11"/>
      <c r="G51" s="69">
        <f t="shared" si="2"/>
        <v>11</v>
      </c>
      <c r="H51" s="43" t="s">
        <v>20</v>
      </c>
      <c r="I51" s="16"/>
      <c r="N51" s="3"/>
    </row>
    <row r="52" spans="4:14" ht="14.7" thickBot="1" x14ac:dyDescent="0.6">
      <c r="D52" s="49" t="s">
        <v>111</v>
      </c>
      <c r="E52" s="61">
        <v>2.67</v>
      </c>
      <c r="F52" s="26"/>
      <c r="G52" s="74">
        <f>E52</f>
        <v>2.67</v>
      </c>
      <c r="H52" s="44" t="s">
        <v>20</v>
      </c>
      <c r="I52" s="17"/>
      <c r="J52" s="8"/>
      <c r="K52" s="8"/>
      <c r="L52" s="8"/>
      <c r="M52" s="8"/>
      <c r="N52" s="4"/>
    </row>
    <row r="54" spans="4:14" ht="14.7" thickBot="1" x14ac:dyDescent="0.6">
      <c r="E54" s="21" t="s">
        <v>79</v>
      </c>
      <c r="F54" s="21" t="s">
        <v>80</v>
      </c>
      <c r="G54" s="21" t="s">
        <v>116</v>
      </c>
    </row>
    <row r="55" spans="4:14" ht="14.7" thickBot="1" x14ac:dyDescent="0.6">
      <c r="D55" s="23" t="s">
        <v>69</v>
      </c>
      <c r="E55" s="50" t="s">
        <v>61</v>
      </c>
      <c r="F55" s="18" t="s">
        <v>99</v>
      </c>
      <c r="G55" s="24" t="s">
        <v>101</v>
      </c>
      <c r="H55" s="28"/>
      <c r="I55" s="31" t="s">
        <v>35</v>
      </c>
      <c r="J55" s="32"/>
      <c r="K55" s="32"/>
      <c r="L55" s="32"/>
      <c r="M55" s="32"/>
      <c r="N55" s="33"/>
    </row>
    <row r="56" spans="4:14" x14ac:dyDescent="0.55000000000000004">
      <c r="D56" s="19" t="s">
        <v>62</v>
      </c>
      <c r="E56" s="15">
        <v>0</v>
      </c>
      <c r="F56" s="15">
        <v>0</v>
      </c>
      <c r="G56" s="29">
        <v>2000</v>
      </c>
      <c r="H56" s="42" t="s">
        <v>63</v>
      </c>
      <c r="I56" s="9"/>
      <c r="J56" s="9"/>
      <c r="K56" s="9"/>
      <c r="L56" s="9"/>
      <c r="M56" s="9"/>
      <c r="N56" s="2"/>
    </row>
    <row r="57" spans="4:14" ht="14.7" thickBot="1" x14ac:dyDescent="0.6">
      <c r="D57" s="20" t="s">
        <v>64</v>
      </c>
      <c r="E57" s="13">
        <v>0</v>
      </c>
      <c r="F57" s="13">
        <v>20</v>
      </c>
      <c r="G57" s="30">
        <v>20</v>
      </c>
      <c r="H57" s="43" t="s">
        <v>65</v>
      </c>
      <c r="N57" s="3"/>
    </row>
    <row r="58" spans="4:14" ht="14.7" thickBot="1" x14ac:dyDescent="0.6">
      <c r="D58" s="20" t="s">
        <v>0</v>
      </c>
      <c r="E58" s="13">
        <v>0.3</v>
      </c>
      <c r="F58" s="13">
        <v>0.2</v>
      </c>
      <c r="G58" s="11">
        <v>0.3</v>
      </c>
      <c r="H58" s="43"/>
      <c r="I58" s="6" t="s">
        <v>98</v>
      </c>
      <c r="J58" s="10"/>
      <c r="K58" s="10"/>
      <c r="L58" s="5"/>
      <c r="M58" s="5"/>
      <c r="N58" s="3"/>
    </row>
    <row r="59" spans="4:14" x14ac:dyDescent="0.55000000000000004">
      <c r="D59" s="20" t="s">
        <v>58</v>
      </c>
      <c r="E59" s="13">
        <v>45000</v>
      </c>
      <c r="F59" s="13">
        <v>23000</v>
      </c>
      <c r="G59" s="11">
        <v>45000</v>
      </c>
      <c r="H59" s="43" t="s">
        <v>59</v>
      </c>
      <c r="I59" s="34"/>
      <c r="J59" s="9"/>
      <c r="K59" s="9"/>
      <c r="L59" s="9"/>
      <c r="M59" s="9"/>
      <c r="N59" s="3"/>
    </row>
    <row r="60" spans="4:14" ht="14.7" thickBot="1" x14ac:dyDescent="0.6">
      <c r="D60" s="49" t="s">
        <v>106</v>
      </c>
      <c r="E60" s="48">
        <v>30</v>
      </c>
      <c r="F60" s="14">
        <v>30</v>
      </c>
      <c r="G60" s="26">
        <v>30</v>
      </c>
      <c r="H60" s="44" t="s">
        <v>63</v>
      </c>
      <c r="I60" s="8"/>
      <c r="J60" s="8"/>
      <c r="K60" s="8"/>
      <c r="L60" s="8"/>
      <c r="M60" s="8"/>
      <c r="N60" s="4"/>
    </row>
    <row r="63" spans="4:14" ht="14.7" thickBot="1" x14ac:dyDescent="0.6"/>
    <row r="64" spans="4:14" ht="14.7" thickBot="1" x14ac:dyDescent="0.6">
      <c r="D64" s="27" t="s">
        <v>73</v>
      </c>
      <c r="E64" s="35"/>
      <c r="F64" s="36" t="s">
        <v>35</v>
      </c>
      <c r="G64" s="37"/>
      <c r="H64" s="37"/>
      <c r="I64" s="37"/>
      <c r="J64" s="37"/>
      <c r="K64" s="37"/>
      <c r="L64" s="37"/>
      <c r="M64" s="38"/>
    </row>
    <row r="65" spans="4:13" ht="14.7" thickBot="1" x14ac:dyDescent="0.6">
      <c r="D65" s="25" t="s">
        <v>70</v>
      </c>
      <c r="E65" s="25" t="s">
        <v>115</v>
      </c>
      <c r="I65" s="9"/>
      <c r="J65" s="9"/>
      <c r="K65" s="9"/>
      <c r="L65" s="9"/>
      <c r="M65" s="2"/>
    </row>
    <row r="66" spans="4:13" ht="14.7" thickBot="1" x14ac:dyDescent="0.6">
      <c r="D66" s="11" t="s">
        <v>32</v>
      </c>
      <c r="E66" s="79" t="s">
        <v>149</v>
      </c>
      <c r="F66" s="80" t="s">
        <v>150</v>
      </c>
      <c r="G66" s="10"/>
      <c r="H66" s="5"/>
      <c r="M66" s="3"/>
    </row>
    <row r="67" spans="4:13" ht="14.7" thickBot="1" x14ac:dyDescent="0.6">
      <c r="D67" s="11" t="s">
        <v>74</v>
      </c>
      <c r="E67" s="41">
        <v>1</v>
      </c>
      <c r="F67" s="10" t="s">
        <v>76</v>
      </c>
      <c r="G67" s="10"/>
      <c r="H67" s="5"/>
      <c r="M67" s="3"/>
    </row>
    <row r="68" spans="4:13" ht="14.7" thickBot="1" x14ac:dyDescent="0.6">
      <c r="D68" s="11" t="s">
        <v>75</v>
      </c>
      <c r="E68" s="41">
        <v>1</v>
      </c>
      <c r="F68" s="10" t="s">
        <v>76</v>
      </c>
      <c r="G68" s="10"/>
      <c r="H68" s="5"/>
      <c r="M68" s="3"/>
    </row>
    <row r="69" spans="4:13" x14ac:dyDescent="0.55000000000000004">
      <c r="D69" s="39" t="s">
        <v>84</v>
      </c>
      <c r="E69" s="41">
        <v>-5</v>
      </c>
      <c r="F69" s="40" t="s">
        <v>81</v>
      </c>
      <c r="M69" s="3"/>
    </row>
    <row r="70" spans="4:13" x14ac:dyDescent="0.55000000000000004">
      <c r="D70" s="39" t="s">
        <v>85</v>
      </c>
      <c r="E70" s="41">
        <v>0.5</v>
      </c>
      <c r="M70" s="3"/>
    </row>
    <row r="71" spans="4:13" ht="14.7" thickBot="1" x14ac:dyDescent="0.6">
      <c r="D71" s="39" t="s">
        <v>86</v>
      </c>
      <c r="E71" s="41">
        <v>0</v>
      </c>
      <c r="M71" s="3"/>
    </row>
    <row r="72" spans="4:13" ht="14.7" thickBot="1" x14ac:dyDescent="0.6">
      <c r="D72" s="11" t="s">
        <v>77</v>
      </c>
      <c r="E72" s="41">
        <v>1</v>
      </c>
      <c r="F72" s="9" t="s">
        <v>76</v>
      </c>
      <c r="G72" s="9"/>
      <c r="H72" s="2"/>
      <c r="M72" s="3"/>
    </row>
    <row r="73" spans="4:13" ht="14.7" thickBot="1" x14ac:dyDescent="0.6">
      <c r="D73" s="39" t="s">
        <v>87</v>
      </c>
      <c r="E73" s="41">
        <v>48000</v>
      </c>
      <c r="F73" s="10" t="s">
        <v>78</v>
      </c>
      <c r="G73" s="10"/>
      <c r="H73" s="10"/>
      <c r="I73" s="10"/>
      <c r="J73" s="10"/>
      <c r="K73" s="10"/>
      <c r="L73" s="10"/>
      <c r="M73" s="5"/>
    </row>
    <row r="74" spans="4:13" x14ac:dyDescent="0.55000000000000004">
      <c r="D74" s="39" t="s">
        <v>88</v>
      </c>
      <c r="E74" s="41">
        <v>3000</v>
      </c>
      <c r="F74" s="40" t="s">
        <v>82</v>
      </c>
      <c r="M74" s="3"/>
    </row>
    <row r="75" spans="4:13" ht="14.7" thickBot="1" x14ac:dyDescent="0.6">
      <c r="D75" s="39" t="s">
        <v>89</v>
      </c>
      <c r="E75" s="41">
        <v>51000</v>
      </c>
      <c r="M75" s="3"/>
    </row>
    <row r="76" spans="4:13" ht="14.7" thickBot="1" x14ac:dyDescent="0.6">
      <c r="D76" s="41" t="s">
        <v>83</v>
      </c>
      <c r="E76" s="41">
        <v>1</v>
      </c>
      <c r="F76" s="6" t="s">
        <v>76</v>
      </c>
      <c r="G76" s="10"/>
      <c r="H76" s="5"/>
      <c r="M76" s="3"/>
    </row>
    <row r="77" spans="4:13" x14ac:dyDescent="0.55000000000000004">
      <c r="D77" s="39" t="s">
        <v>90</v>
      </c>
      <c r="E77" s="41">
        <v>0</v>
      </c>
      <c r="F77" s="40" t="s">
        <v>96</v>
      </c>
      <c r="M77" s="3"/>
    </row>
    <row r="78" spans="4:13" x14ac:dyDescent="0.55000000000000004">
      <c r="D78" s="39" t="s">
        <v>91</v>
      </c>
      <c r="E78" s="41">
        <v>2000</v>
      </c>
      <c r="M78" s="3"/>
    </row>
    <row r="79" spans="4:13" x14ac:dyDescent="0.55000000000000004">
      <c r="D79" s="39" t="s">
        <v>92</v>
      </c>
      <c r="E79" s="41">
        <v>8000</v>
      </c>
      <c r="M79" s="3"/>
    </row>
    <row r="80" spans="4:13" x14ac:dyDescent="0.55000000000000004">
      <c r="D80" s="39" t="s">
        <v>93</v>
      </c>
      <c r="E80" s="41">
        <v>0</v>
      </c>
      <c r="F80" s="40" t="s">
        <v>97</v>
      </c>
      <c r="M80" s="3"/>
    </row>
    <row r="81" spans="4:13" x14ac:dyDescent="0.55000000000000004">
      <c r="D81" s="39" t="s">
        <v>94</v>
      </c>
      <c r="E81" s="41">
        <v>10</v>
      </c>
      <c r="M81" s="3"/>
    </row>
    <row r="82" spans="4:13" ht="14.7" thickBot="1" x14ac:dyDescent="0.6">
      <c r="D82" s="39" t="s">
        <v>95</v>
      </c>
      <c r="E82" s="41">
        <v>40</v>
      </c>
      <c r="M82" s="3"/>
    </row>
    <row r="83" spans="4:13" ht="14.7" thickBot="1" x14ac:dyDescent="0.6">
      <c r="D83" s="39" t="s">
        <v>105</v>
      </c>
      <c r="E83" s="47">
        <v>1</v>
      </c>
      <c r="F83" s="6" t="s">
        <v>118</v>
      </c>
      <c r="G83" s="10"/>
      <c r="H83" s="5"/>
      <c r="M83" s="3"/>
    </row>
    <row r="84" spans="4:13" x14ac:dyDescent="0.55000000000000004">
      <c r="D84" s="75" t="s">
        <v>72</v>
      </c>
      <c r="E84" s="25"/>
      <c r="F84" s="16"/>
      <c r="M84" s="3"/>
    </row>
    <row r="85" spans="4:13" x14ac:dyDescent="0.55000000000000004">
      <c r="D85" s="76"/>
      <c r="E85" s="11"/>
      <c r="F85" s="16"/>
      <c r="M85" s="3"/>
    </row>
    <row r="86" spans="4:13" x14ac:dyDescent="0.55000000000000004">
      <c r="D86" s="76"/>
      <c r="E86" s="11"/>
      <c r="F86" s="16"/>
      <c r="M86" s="3"/>
    </row>
    <row r="87" spans="4:13" ht="14.7" thickBot="1" x14ac:dyDescent="0.6">
      <c r="D87" s="77"/>
      <c r="E87" s="26"/>
      <c r="F87" s="17"/>
      <c r="G87" s="8"/>
      <c r="H87" s="8"/>
      <c r="I87" s="8"/>
      <c r="J87" s="8"/>
      <c r="K87" s="8"/>
      <c r="L87" s="8"/>
      <c r="M87" s="4"/>
    </row>
  </sheetData>
  <mergeCells count="1">
    <mergeCell ref="D84:D8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EseguiExe" altText="Run vmc.exe_x000a_">
                <anchor moveWithCells="1" sizeWithCells="1">
                  <from>
                    <xdr:col>4</xdr:col>
                    <xdr:colOff>15240</xdr:colOff>
                    <xdr:row>83</xdr:row>
                    <xdr:rowOff>15240</xdr:rowOff>
                  </from>
                  <to>
                    <xdr:col>4</xdr:col>
                    <xdr:colOff>1127760</xdr:colOff>
                    <xdr:row>86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2"/>
  <dimension ref="A1:AW3"/>
  <sheetViews>
    <sheetView workbookViewId="0">
      <selection activeCell="D24" sqref="D24"/>
    </sheetView>
  </sheetViews>
  <sheetFormatPr defaultRowHeight="14.4" x14ac:dyDescent="0.55000000000000004"/>
  <sheetData>
    <row r="1" spans="1:49" s="22" customFormat="1" x14ac:dyDescent="0.55000000000000004">
      <c r="A1" s="22" cm="1">
        <f t="array" aca="1" ref="A1" ca="1">INDIRECT("Input!$" &amp; Input!E65 &amp; "4")*3.281</f>
        <v>15.269774</v>
      </c>
      <c r="B1" s="22" cm="1">
        <f t="array" aca="1" ref="B1" ca="1">INDIRECT("Input!$" &amp; Input!E65 &amp; "5")*3.281</f>
        <v>9.843</v>
      </c>
      <c r="C1" s="22" cm="1">
        <f t="array" aca="1" ref="C1" ca="1">INDIRECT("Input!$" &amp; Input!E65 &amp; "6")*3.281</f>
        <v>113.06326000000001</v>
      </c>
      <c r="D1" s="22" cm="1">
        <f t="array" aca="1" ref="D1" ca="1">INDIRECT("Input!$" &amp; Input!E65 &amp; "7")*(3.281^2)</f>
        <v>257.73214985076282</v>
      </c>
      <c r="E1" s="22" cm="1">
        <f t="array" aca="1" ref="E1" ca="1">INDIRECT("Input!$" &amp; Input!E65 &amp; "8")*(3.281^3)</f>
        <v>13191.959134813502</v>
      </c>
      <c r="F1" s="22" cm="1">
        <f t="array" aca="1" ref="F1" ca="1">INDIRECT("Input!$" &amp; Input!E65 &amp; "9")*3.281^2</f>
        <v>545.02997543000015</v>
      </c>
      <c r="G1" s="22" cm="1">
        <f t="array" aca="1" ref="G1" ca="1">INDIRECT("Input!$" &amp; Input!E65 &amp; "10")*3.281</f>
        <v>52.660050000000005</v>
      </c>
      <c r="H1" s="22" cm="1">
        <f t="array" aca="1" ref="H1" ca="1">INDIRECT("Input!$" &amp; Input!E65 &amp; "11")*PI()/180</f>
        <v>5.9986966391045102E-2</v>
      </c>
      <c r="I1" s="22" cm="1">
        <f t="array" aca="1" ref="I1" ca="1">INDIRECT("Input!$" &amp; Input!E65 &amp; "12")*3.281</f>
        <v>5.5120800000000001</v>
      </c>
      <c r="J1" s="22" cm="1">
        <f t="array" aca="1" ref="J1" ca="1">INDIRECT("Input!$" &amp; Input!E65 &amp; "13")</f>
        <v>0.85</v>
      </c>
      <c r="K1" s="22" cm="1">
        <f t="array" aca="1" ref="K1" ca="1">INDIRECT("Input!$" &amp; Input!E65 &amp; "14")</f>
        <v>0.25</v>
      </c>
      <c r="L1" s="22" cm="1">
        <f t="array" aca="1" ref="L1" ca="1">INDIRECT("Input!$" &amp; Input!E65 &amp; "15")*3.281</f>
        <v>23.101521000000002</v>
      </c>
      <c r="M1" s="22" cm="1">
        <f t="array" aca="1" ref="M1" ca="1">INDIRECT("Input!$" &amp; Input!E65 &amp; "16")*PI()/180</f>
        <v>0.29670597283903605</v>
      </c>
      <c r="N1" s="22" cm="1">
        <f t="array" aca="1" ref="N1" ca="1">INDIRECT("Input!$" &amp; Input!E65 &amp; "17")*3.281</f>
        <v>20.670300000000001</v>
      </c>
      <c r="O1" s="22" cm="1">
        <f t="array" aca="1" ref="O1" ca="1">INDIRECT("Input!$" &amp; Input!E65 &amp; "18")*3.281</f>
        <v>5.9058000000000002</v>
      </c>
      <c r="P1" s="22" cm="1">
        <f t="array" aca="1" ref="P1" ca="1">INDIRECT("Input!$" &amp; Input!E65 &amp; "19")*3.281</f>
        <v>10.030017000000001</v>
      </c>
      <c r="Q1" s="22" cm="1">
        <f t="array" aca="1" ref="Q1" ca="1">INDIRECT("Input!$" &amp; Input!E65 &amp; "20")*3.281</f>
        <v>54.136500000000005</v>
      </c>
      <c r="R1" s="22" cm="1">
        <f t="array" aca="1" ref="R1" ca="1">INDIRECT("Input!$" &amp; Input!E65 &amp; "21")</f>
        <v>30</v>
      </c>
      <c r="S1" s="22" cm="1">
        <f t="array" aca="1" ref="S1" ca="1">INDIRECT("Input!$" &amp; Input!E65 &amp; "22")/100</f>
        <v>1</v>
      </c>
      <c r="T1" s="22" cm="1">
        <f t="array" aca="1" ref="T1" ca="1">INDIRECT("Input!$" &amp; Input!E65 &amp; "23")/100</f>
        <v>0.08</v>
      </c>
      <c r="U1" s="22" cm="1">
        <f t="array" aca="1" ref="U1" ca="1">INDIRECT("Input!$" &amp; Input!E65 &amp; "24")*3.281^2</f>
        <v>1743.9236820000003</v>
      </c>
      <c r="V1" s="22" cm="1">
        <f t="array" aca="1" ref="V1" ca="1">INDIRECT("Input!$" &amp; Input!E65 &amp; "25")*3.281</f>
        <v>132.58520999999999</v>
      </c>
      <c r="W1" s="22" cm="1">
        <f t="array" aca="1" ref="W1" ca="1">INDIRECT("Input!$" &amp; Input!E65 &amp; "26")</f>
        <v>1.85</v>
      </c>
      <c r="X1" s="22" cm="1">
        <f t="array" aca="1" ref="X1" ca="1">INDIRECT("Input!$" &amp; Input!E65 &amp; "27")*3.281</f>
        <v>-7.9367390000000002</v>
      </c>
      <c r="Y1" s="22" cm="1">
        <f t="array" aca="1" ref="Y1" ca="1">INDIRECT("Input!$" &amp; Input!E65 &amp; "28")*PI()/180</f>
        <v>1.7453292519943295E-2</v>
      </c>
      <c r="Z1" s="22" cm="1">
        <f t="array" aca="1" ref="Z1" ca="1">INDIRECT("Input!$" &amp; Input!E65 &amp; "29")</f>
        <v>20</v>
      </c>
      <c r="AA1" s="22" cm="1">
        <f t="array" aca="1" ref="AA1" ca="1">INDIRECT("Input!$" &amp; Input!E65 &amp; "30")</f>
        <v>0.52</v>
      </c>
      <c r="AB1" s="22" cm="1">
        <f t="array" aca="1" ref="AB1" ca="1">INDIRECT("Input!$" &amp; Input!E65 &amp; "31")*3.281</f>
        <v>45.934000000000005</v>
      </c>
      <c r="AC1" s="22" cm="1">
        <f t="array" aca="1" ref="AC1" ca="1">INDIRECT("Input!$" &amp; Input!E65 &amp; "32")</f>
        <v>3</v>
      </c>
      <c r="AD1" s="22" cm="1">
        <f t="array" aca="1" ref="AD1" ca="1">INDIRECT("Input!$" &amp; Input!E65 &amp; "33")/100</f>
        <v>0.08</v>
      </c>
      <c r="AE1" s="22" cm="1">
        <f t="array" aca="1" ref="AE1" ca="1">INDIRECT("Input!$" &amp; Input!E65 &amp; "34")</f>
        <v>0.25</v>
      </c>
      <c r="AF1" s="22" cm="1">
        <f t="array" aca="1" ref="AF1" ca="1">INDIRECT("Input!$" &amp; Input!E65 &amp; "35")</f>
        <v>6</v>
      </c>
      <c r="AG1" s="22" cm="1">
        <f t="array" aca="1" ref="AG1" ca="1">INDIRECT("Input!$" &amp; Input!E65 &amp; "36")/100</f>
        <v>0.7</v>
      </c>
      <c r="AH1" s="22" cm="1">
        <f t="array" aca="1" ref="AH1" ca="1">INDIRECT("Input!$" &amp; Input!E65 &amp; "37")/100</f>
        <v>0.98</v>
      </c>
      <c r="AI1" s="22" cm="1">
        <f t="array" aca="1" ref="AI1" ca="1">INDIRECT("Input!$" &amp; Input!E65 &amp; "38")</f>
        <v>2.1</v>
      </c>
      <c r="AJ1" s="22" cm="1">
        <f t="array" aca="1" ref="AJ1" ca="1">INDIRECT("Input!$" &amp; Input!E65 &amp; "39")</f>
        <v>0.9</v>
      </c>
      <c r="AK1" s="22" t="str" cm="1">
        <f t="array" aca="1" ref="AK1" ca="1">INDIRECT("Input!$" &amp; Input!E65 &amp; "40")</f>
        <v>TP</v>
      </c>
      <c r="AL1" s="22" cm="1">
        <f t="array" aca="1" ref="AL1" ca="1">INDIRECT("Input!$" &amp; Input!E65 &amp; "41")</f>
        <v>4</v>
      </c>
      <c r="AM1" s="22" cm="1">
        <f t="array" aca="1" ref="AM1" ca="1">INDIRECT("Input!$" &amp; Input!E65 &amp; "42")*3.281</f>
        <v>3.9798530000000003</v>
      </c>
      <c r="AN1" s="22" cm="1">
        <f t="array" aca="1" ref="AN1" ca="1">INDIRECT("Input!$" &amp; Input!E65 &amp; "43")</f>
        <v>54000</v>
      </c>
      <c r="AO1" s="22" cm="1">
        <f t="array" aca="1" ref="AO1" ca="1">INDIRECT("Input!$" &amp; Input!E65 &amp; "44")</f>
        <v>10.17</v>
      </c>
      <c r="AP1" s="22" cm="1">
        <f t="array" aca="1" ref="AP1" ca="1">INDIRECT("Input!$" &amp; Input!E65 &amp; "45")</f>
        <v>0.49</v>
      </c>
      <c r="AQ1" s="22" cm="1">
        <f t="array" aca="1" ref="AQ1" ca="1">INDIRECT("Input!$" &amp; Input!E65 &amp; "46")</f>
        <v>60</v>
      </c>
      <c r="AR1" s="22" cm="1">
        <f t="array" aca="1" ref="AR1" ca="1">INDIRECT("Input!$" &amp; Input!E65 &amp; "47")</f>
        <v>35000</v>
      </c>
      <c r="AS1" s="22" cm="1">
        <f t="array" aca="1" ref="AS1" ca="1">INDIRECT("Input!$" &amp; Input!E65 &amp; "48")</f>
        <v>7.4999999999999997E-2</v>
      </c>
      <c r="AT1" s="22" cm="1">
        <f t="array" aca="1" ref="AT1" ca="1">INDIRECT("Input!$" &amp; Input!E65 &amp; "49")</f>
        <v>0.8</v>
      </c>
      <c r="AU1" s="22" cm="1">
        <f t="array" aca="1" ref="AU1" ca="1">INDIRECT("Input!$" &amp; Input!E65 &amp; "50")</f>
        <v>1</v>
      </c>
      <c r="AV1" s="22" cm="1">
        <f t="array" aca="1" ref="AV1" ca="1">INDIRECT("Input!$" &amp; Input!E65 &amp; "51")</f>
        <v>11</v>
      </c>
      <c r="AW1" s="22" cm="1">
        <f t="array" aca="1" ref="AW1" ca="1">INDIRECT("Input!$" &amp; Input!E65 &amp; "52")</f>
        <v>2.67</v>
      </c>
    </row>
    <row r="2" spans="1:49" x14ac:dyDescent="0.55000000000000004">
      <c r="A2" s="22" cm="1">
        <f t="array" aca="1" ref="A2" ca="1">INDIRECT("Input!$" &amp; Input!E65 &amp; "56")/3.281</f>
        <v>0</v>
      </c>
      <c r="B2" s="22" cm="1">
        <f t="array" aca="1" ref="B2" ca="1">INDIRECT("Input!$" &amp; Input!E65 &amp; "57")</f>
        <v>0</v>
      </c>
      <c r="C2" s="22" cm="1">
        <f t="array" aca="1" ref="C2" ca="1">INDIRECT("Input!$" &amp; Input!E65 &amp; "58")</f>
        <v>0.3</v>
      </c>
      <c r="D2" s="22" cm="1">
        <f t="array" aca="1" ref="D2" ca="1">INDIRECT("Input!$" &amp; Input!E65 &amp; "59")</f>
        <v>45000</v>
      </c>
      <c r="E2" s="22" cm="1">
        <f t="array" aca="1" ref="E2" ca="1">INDIRECT("Input!$" &amp; Input!E65 &amp; "60")</f>
        <v>30</v>
      </c>
    </row>
    <row r="3" spans="1:49" x14ac:dyDescent="0.55000000000000004">
      <c r="A3">
        <f>Input!$E67</f>
        <v>1</v>
      </c>
      <c r="B3">
        <f>Input!E68</f>
        <v>1</v>
      </c>
      <c r="C3">
        <f>Input!E69</f>
        <v>-5</v>
      </c>
      <c r="D3">
        <f>Input!$E70</f>
        <v>0.5</v>
      </c>
      <c r="E3">
        <f>Input!$E71</f>
        <v>0</v>
      </c>
      <c r="F3">
        <f>Input!$E72</f>
        <v>1</v>
      </c>
      <c r="G3">
        <f>Input!$E73</f>
        <v>48000</v>
      </c>
      <c r="H3">
        <f>Input!$E74</f>
        <v>3000</v>
      </c>
      <c r="I3">
        <f>Input!$E75</f>
        <v>51000</v>
      </c>
      <c r="J3">
        <f>Input!E76</f>
        <v>1</v>
      </c>
      <c r="K3">
        <f>Input!E77</f>
        <v>0</v>
      </c>
      <c r="L3">
        <f>Input!E78</f>
        <v>2000</v>
      </c>
      <c r="M3">
        <f>Input!E79</f>
        <v>8000</v>
      </c>
      <c r="N3">
        <f>Input!E80</f>
        <v>0</v>
      </c>
      <c r="O3">
        <f>Input!E81</f>
        <v>10</v>
      </c>
      <c r="P3">
        <f>Input!E82</f>
        <v>40</v>
      </c>
      <c r="Q3">
        <f>Input!E83</f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5D24B-7DF9-4483-8F79-D64858568315}">
  <sheetPr codeName="Foglio3"/>
  <dimension ref="C1:P114"/>
  <sheetViews>
    <sheetView zoomScale="85" zoomScaleNormal="85" workbookViewId="0">
      <selection activeCell="B6" sqref="B6"/>
    </sheetView>
  </sheetViews>
  <sheetFormatPr defaultRowHeight="14.4" x14ac:dyDescent="0.55000000000000004"/>
  <cols>
    <col min="2" max="2" width="13.41796875" customWidth="1"/>
    <col min="3" max="3" width="15.3125" customWidth="1"/>
    <col min="4" max="4" width="14.41796875" customWidth="1"/>
    <col min="5" max="5" width="14.26171875" customWidth="1"/>
    <col min="6" max="6" width="12.47265625" bestFit="1" customWidth="1"/>
    <col min="7" max="7" width="14.47265625" customWidth="1"/>
    <col min="8" max="8" width="12.89453125" customWidth="1"/>
    <col min="9" max="9" width="11.734375" bestFit="1" customWidth="1"/>
    <col min="10" max="11" width="10.15625" bestFit="1" customWidth="1"/>
    <col min="12" max="12" width="12.15625" bestFit="1" customWidth="1"/>
    <col min="13" max="13" width="11.3125" customWidth="1"/>
    <col min="14" max="14" width="10.15625" customWidth="1"/>
    <col min="15" max="15" width="12.41796875" bestFit="1" customWidth="1"/>
    <col min="16" max="16" width="15.3671875" bestFit="1" customWidth="1"/>
    <col min="17" max="17" width="10.1015625" bestFit="1" customWidth="1"/>
    <col min="18" max="18" width="10.7890625" bestFit="1" customWidth="1"/>
    <col min="19" max="19" width="10.41796875" bestFit="1" customWidth="1"/>
    <col min="20" max="20" width="11" bestFit="1" customWidth="1"/>
    <col min="21" max="21" width="10.89453125" bestFit="1" customWidth="1"/>
    <col min="22" max="22" width="11.3125" bestFit="1" customWidth="1"/>
    <col min="23" max="23" width="10.7890625" bestFit="1" customWidth="1"/>
    <col min="24" max="24" width="10.62890625" bestFit="1" customWidth="1"/>
    <col min="25" max="25" width="11.05078125" bestFit="1" customWidth="1"/>
  </cols>
  <sheetData>
    <row r="1" spans="3:16" x14ac:dyDescent="0.55000000000000004">
      <c r="C1" s="64" t="s">
        <v>120</v>
      </c>
      <c r="D1" s="66">
        <v>45939</v>
      </c>
      <c r="E1" s="64">
        <v>0.69921296296296298</v>
      </c>
    </row>
    <row r="3" spans="3:16" x14ac:dyDescent="0.55000000000000004">
      <c r="C3" t="s">
        <v>121</v>
      </c>
    </row>
    <row r="5" spans="3:16" x14ac:dyDescent="0.55000000000000004">
      <c r="C5" t="s">
        <v>122</v>
      </c>
      <c r="D5" t="s">
        <v>123</v>
      </c>
      <c r="E5" t="s">
        <v>124</v>
      </c>
      <c r="F5" t="s">
        <v>125</v>
      </c>
      <c r="G5" t="s">
        <v>126</v>
      </c>
      <c r="H5" t="s">
        <v>127</v>
      </c>
      <c r="I5" t="s">
        <v>128</v>
      </c>
      <c r="J5" t="s">
        <v>129</v>
      </c>
      <c r="K5" t="s">
        <v>130</v>
      </c>
      <c r="L5" t="s">
        <v>131</v>
      </c>
      <c r="M5" t="s">
        <v>132</v>
      </c>
      <c r="O5" t="s">
        <v>133</v>
      </c>
      <c r="P5" t="s">
        <v>134</v>
      </c>
    </row>
    <row r="6" spans="3:16" x14ac:dyDescent="0.55000000000000004">
      <c r="C6">
        <v>10</v>
      </c>
      <c r="D6">
        <v>0.99426103899999996</v>
      </c>
      <c r="E6">
        <v>-0.95350291062533266</v>
      </c>
      <c r="F6">
        <v>-0.16118223426450179</v>
      </c>
      <c r="G6">
        <v>8.4286050934412646E-2</v>
      </c>
      <c r="H6">
        <v>0</v>
      </c>
      <c r="I6">
        <v>-0.17137743651281429</v>
      </c>
      <c r="J6">
        <v>0</v>
      </c>
      <c r="K6">
        <v>0.22164454738951014</v>
      </c>
      <c r="L6">
        <v>1.6767319509273265E-2</v>
      </c>
      <c r="M6">
        <v>-9.0500743180572094E-2</v>
      </c>
      <c r="O6">
        <v>94.073403371761501</v>
      </c>
      <c r="P6">
        <v>1.2250122659906946</v>
      </c>
    </row>
    <row r="7" spans="3:16" x14ac:dyDescent="0.55000000000000004">
      <c r="C7">
        <v>20</v>
      </c>
      <c r="D7">
        <v>0.98629752900000001</v>
      </c>
      <c r="E7">
        <v>-0.95355473352329856</v>
      </c>
      <c r="F7">
        <v>-0.16121743080720735</v>
      </c>
      <c r="G7">
        <v>7.7455297961160671E-2</v>
      </c>
      <c r="H7">
        <v>0</v>
      </c>
      <c r="I7">
        <v>-0.17137743893067375</v>
      </c>
      <c r="J7">
        <v>0</v>
      </c>
      <c r="K7">
        <v>0.22163121738359093</v>
      </c>
      <c r="L7">
        <v>1.6766311099768314E-2</v>
      </c>
      <c r="M7">
        <v>-9.0495300342223486E-2</v>
      </c>
    </row>
    <row r="8" spans="3:16" x14ac:dyDescent="0.55000000000000004">
      <c r="C8">
        <v>30</v>
      </c>
      <c r="D8">
        <v>0.97562343399999996</v>
      </c>
      <c r="E8">
        <v>-0.95364116082444872</v>
      </c>
      <c r="F8">
        <v>-0.1612583573226396</v>
      </c>
      <c r="G8">
        <v>7.3482475325418503E-2</v>
      </c>
      <c r="H8">
        <v>0</v>
      </c>
      <c r="I8">
        <v>-0.17137744296598734</v>
      </c>
      <c r="J8">
        <v>0</v>
      </c>
      <c r="K8">
        <v>0.22160889288498228</v>
      </c>
      <c r="L8">
        <v>1.676462226056399E-2</v>
      </c>
      <c r="M8">
        <v>-9.0486184919629009E-2</v>
      </c>
    </row>
    <row r="9" spans="3:16" x14ac:dyDescent="0.55000000000000004">
      <c r="C9">
        <v>40</v>
      </c>
      <c r="D9">
        <v>0.96078064799999996</v>
      </c>
      <c r="E9">
        <v>-0.95376227640592093</v>
      </c>
      <c r="F9">
        <v>-0.16130491099283401</v>
      </c>
      <c r="G9">
        <v>7.0688127758184213E-2</v>
      </c>
      <c r="H9">
        <v>0</v>
      </c>
      <c r="I9">
        <v>-0.17137744862710969</v>
      </c>
      <c r="J9">
        <v>0</v>
      </c>
      <c r="K9">
        <v>0.22157741149549612</v>
      </c>
      <c r="L9">
        <v>1.6762240706303683E-2</v>
      </c>
      <c r="M9">
        <v>-9.0473330603209265E-2</v>
      </c>
    </row>
    <row r="10" spans="3:16" x14ac:dyDescent="0.55000000000000004">
      <c r="C10">
        <v>50</v>
      </c>
      <c r="D10">
        <v>0.93993718900000001</v>
      </c>
      <c r="E10">
        <v>-0.95391819803740563</v>
      </c>
      <c r="F10">
        <v>-0.16135699545524865</v>
      </c>
      <c r="G10">
        <v>6.8545969556368339E-2</v>
      </c>
      <c r="H10">
        <v>0</v>
      </c>
      <c r="I10">
        <v>-0.17137745592580525</v>
      </c>
      <c r="J10">
        <v>0</v>
      </c>
      <c r="K10">
        <v>0.22153654452192062</v>
      </c>
      <c r="L10">
        <v>1.6759149136439284E-2</v>
      </c>
      <c r="M10">
        <v>-9.0456644014147256E-2</v>
      </c>
    </row>
    <row r="11" spans="3:16" x14ac:dyDescent="0.55000000000000004">
      <c r="C11">
        <v>60</v>
      </c>
      <c r="D11">
        <v>0.91490634500000001</v>
      </c>
      <c r="E11">
        <v>-0.9541090777252863</v>
      </c>
      <c r="F11">
        <v>-0.16141452086831179</v>
      </c>
      <c r="G11">
        <v>6.6821619680733274E-2</v>
      </c>
      <c r="H11">
        <v>0</v>
      </c>
      <c r="I11">
        <v>-0.1713774648773147</v>
      </c>
      <c r="J11">
        <v>0</v>
      </c>
      <c r="K11">
        <v>0.22148599562713717</v>
      </c>
      <c r="L11">
        <v>1.6755325133188777E-2</v>
      </c>
      <c r="M11">
        <v>-9.0436004153619493E-2</v>
      </c>
    </row>
    <row r="12" spans="3:16" x14ac:dyDescent="0.55000000000000004">
      <c r="C12">
        <v>70</v>
      </c>
      <c r="D12">
        <v>0.88598721400000002</v>
      </c>
      <c r="E12">
        <v>-0.95433510215862705</v>
      </c>
      <c r="F12">
        <v>-0.16147740399636784</v>
      </c>
      <c r="G12">
        <v>6.5390095266948278E-2</v>
      </c>
      <c r="H12">
        <v>0</v>
      </c>
      <c r="I12">
        <v>-0.17137747550044627</v>
      </c>
      <c r="J12">
        <v>0</v>
      </c>
      <c r="K12">
        <v>0.22142539907692674</v>
      </c>
      <c r="L12">
        <v>1.6750741028907824E-2</v>
      </c>
      <c r="M12">
        <v>-9.041126168694115E-2</v>
      </c>
    </row>
    <row r="13" spans="3:16" x14ac:dyDescent="0.55000000000000004">
      <c r="C13">
        <v>80</v>
      </c>
      <c r="D13">
        <v>0.85390885000000005</v>
      </c>
      <c r="E13">
        <v>-0.95459649325969487</v>
      </c>
      <c r="F13">
        <v>-0.16154556831453393</v>
      </c>
      <c r="G13">
        <v>6.4176837795841241E-2</v>
      </c>
      <c r="H13">
        <v>0</v>
      </c>
      <c r="I13">
        <v>-0.17137748781768547</v>
      </c>
      <c r="J13">
        <v>0</v>
      </c>
      <c r="K13">
        <v>0.2213543175680048</v>
      </c>
      <c r="L13">
        <v>1.674536374178151E-2</v>
      </c>
      <c r="M13">
        <v>-9.0382238056720618E-2</v>
      </c>
    </row>
    <row r="14" spans="3:16" x14ac:dyDescent="0.55000000000000004">
      <c r="C14">
        <v>90</v>
      </c>
      <c r="D14">
        <v>0.82173701700000001</v>
      </c>
      <c r="E14">
        <v>-0.95489350884235713</v>
      </c>
      <c r="F14">
        <v>-0.16161894413410294</v>
      </c>
      <c r="G14">
        <v>6.3133802315040455E-2</v>
      </c>
      <c r="H14">
        <v>0</v>
      </c>
      <c r="I14">
        <v>-0.17137750185532813</v>
      </c>
      <c r="J14">
        <v>0</v>
      </c>
      <c r="K14">
        <v>0.22127223961930739</v>
      </c>
      <c r="L14">
        <v>1.673915457847619E-2</v>
      </c>
      <c r="M14">
        <v>-9.034872441768306E-2</v>
      </c>
    </row>
    <row r="15" spans="3:16" x14ac:dyDescent="0.55000000000000004">
      <c r="C15">
        <v>100</v>
      </c>
      <c r="D15">
        <v>0.78990167099999997</v>
      </c>
      <c r="E15">
        <v>-0.95522644338238716</v>
      </c>
      <c r="F15">
        <v>-0.16169746874926166</v>
      </c>
      <c r="G15">
        <v>6.2228232430078967E-2</v>
      </c>
      <c r="H15">
        <v>0</v>
      </c>
      <c r="I15">
        <v>-0.17137751764364068</v>
      </c>
      <c r="J15">
        <v>0</v>
      </c>
      <c r="K15">
        <v>0.22117857650483949</v>
      </c>
      <c r="L15">
        <v>1.6732069002110727E-2</v>
      </c>
      <c r="M15">
        <v>-9.0310480384307154E-2</v>
      </c>
    </row>
    <row r="16" spans="3:16" x14ac:dyDescent="0.55000000000000004">
      <c r="C16">
        <v>110</v>
      </c>
      <c r="D16">
        <v>0.75872060399999997</v>
      </c>
      <c r="E16">
        <v>-0.95559562890443472</v>
      </c>
      <c r="F16">
        <v>-0.16178108660602969</v>
      </c>
      <c r="G16">
        <v>6.1436814147127566E-2</v>
      </c>
      <c r="H16">
        <v>0</v>
      </c>
      <c r="I16">
        <v>-0.1713775352170441</v>
      </c>
      <c r="J16">
        <v>0</v>
      </c>
      <c r="K16">
        <v>0.2210726587024629</v>
      </c>
      <c r="L16">
        <v>1.6724056363608741E-2</v>
      </c>
      <c r="M16">
        <v>-9.0267232580812637E-2</v>
      </c>
    </row>
    <row r="17" spans="3:13" x14ac:dyDescent="0.55000000000000004">
      <c r="C17">
        <v>120</v>
      </c>
      <c r="D17">
        <v>0.72821250999999998</v>
      </c>
      <c r="E17">
        <v>-0.95600143599120757</v>
      </c>
      <c r="F17">
        <v>-0.16186974949447525</v>
      </c>
      <c r="G17">
        <v>6.0742384489497259E-2</v>
      </c>
      <c r="H17">
        <v>0</v>
      </c>
      <c r="I17">
        <v>-0.17137755461432952</v>
      </c>
      <c r="J17">
        <v>0</v>
      </c>
      <c r="K17">
        <v>0.22095373182879097</v>
      </c>
      <c r="L17">
        <v>1.6715059594175061E-2</v>
      </c>
      <c r="M17">
        <v>-9.0218672981317777E-2</v>
      </c>
    </row>
    <row r="18" spans="3:13" x14ac:dyDescent="0.55000000000000004">
      <c r="C18">
        <v>130</v>
      </c>
      <c r="D18">
        <v>0.69897558599999998</v>
      </c>
      <c r="E18">
        <v>-0.95644427492123596</v>
      </c>
      <c r="F18">
        <v>-0.16196341676542245</v>
      </c>
      <c r="G18">
        <v>6.0131962316451765E-2</v>
      </c>
      <c r="H18">
        <v>0</v>
      </c>
      <c r="I18">
        <v>-0.17137757587890246</v>
      </c>
      <c r="J18">
        <v>0</v>
      </c>
      <c r="K18">
        <v>0.22082095202583224</v>
      </c>
      <c r="L18">
        <v>1.6705014856297183E-2</v>
      </c>
      <c r="M18">
        <v>-9.0164457026137901E-2</v>
      </c>
    </row>
    <row r="19" spans="3:13" x14ac:dyDescent="0.55000000000000004">
      <c r="C19">
        <v>140</v>
      </c>
      <c r="D19">
        <v>0.67067334700000003</v>
      </c>
      <c r="E19">
        <v>-0.95692459694252219</v>
      </c>
      <c r="F19">
        <v>-0.16206223232418504</v>
      </c>
      <c r="G19">
        <v>5.9595511215196725E-2</v>
      </c>
      <c r="H19">
        <v>0</v>
      </c>
      <c r="I19">
        <v>-0.17137759905906427</v>
      </c>
      <c r="J19">
        <v>0</v>
      </c>
      <c r="K19">
        <v>0.2206733807601419</v>
      </c>
      <c r="L19">
        <v>1.6693851150303241E-2</v>
      </c>
      <c r="M19">
        <v>-9.0104201498201975E-2</v>
      </c>
    </row>
    <row r="20" spans="3:13" x14ac:dyDescent="0.55000000000000004">
      <c r="C20">
        <v>150</v>
      </c>
      <c r="D20">
        <v>0.64293191800000005</v>
      </c>
      <c r="E20">
        <v>-0.95744289569034868</v>
      </c>
      <c r="F20">
        <v>-0.16216676606383576</v>
      </c>
      <c r="G20">
        <v>5.9125130472693313E-2</v>
      </c>
      <c r="H20">
        <v>0</v>
      </c>
      <c r="I20">
        <v>-0.17137762420833064</v>
      </c>
      <c r="J20">
        <v>0</v>
      </c>
      <c r="K20">
        <v>0.22050997898992405</v>
      </c>
      <c r="L20">
        <v>1.6681489873105616E-2</v>
      </c>
      <c r="M20">
        <v>-9.0037482141394384E-2</v>
      </c>
    </row>
    <row r="21" spans="3:13" x14ac:dyDescent="0.55000000000000004">
      <c r="C21">
        <v>160</v>
      </c>
      <c r="D21">
        <v>0.61747111799999999</v>
      </c>
      <c r="E21">
        <v>-0.95799970875861695</v>
      </c>
      <c r="F21">
        <v>-0.16227737454289645</v>
      </c>
      <c r="G21">
        <v>5.8714507933595894E-2</v>
      </c>
      <c r="H21">
        <v>0</v>
      </c>
      <c r="I21">
        <v>-0.17137765138579344</v>
      </c>
      <c r="J21">
        <v>0</v>
      </c>
      <c r="K21">
        <v>0.22032960064975388</v>
      </c>
      <c r="L21">
        <v>1.6667844325322884E-2</v>
      </c>
      <c r="M21">
        <v>-8.9963831000270722E-2</v>
      </c>
    </row>
    <row r="24" spans="3:13" x14ac:dyDescent="0.55000000000000004">
      <c r="C24" t="s">
        <v>135</v>
      </c>
    </row>
    <row r="26" spans="3:13" x14ac:dyDescent="0.55000000000000004">
      <c r="C26" t="s">
        <v>136</v>
      </c>
      <c r="D26" t="s">
        <v>137</v>
      </c>
      <c r="E26" t="s">
        <v>138</v>
      </c>
      <c r="F26" t="s">
        <v>139</v>
      </c>
      <c r="G26" t="s">
        <v>140</v>
      </c>
      <c r="I26" t="s">
        <v>141</v>
      </c>
      <c r="J26" t="s">
        <v>142</v>
      </c>
      <c r="K26" t="s">
        <v>143</v>
      </c>
    </row>
    <row r="27" spans="3:13" x14ac:dyDescent="0.55000000000000004">
      <c r="C27">
        <v>-5</v>
      </c>
      <c r="D27">
        <v>-3.8302645811937857</v>
      </c>
      <c r="E27">
        <v>29.858790775120841</v>
      </c>
      <c r="F27">
        <v>-0.96817986485030283</v>
      </c>
      <c r="G27">
        <v>90.378118187300785</v>
      </c>
      <c r="I27">
        <v>0</v>
      </c>
      <c r="J27">
        <v>0</v>
      </c>
      <c r="K27">
        <v>93.663207470520177</v>
      </c>
    </row>
    <row r="28" spans="3:13" x14ac:dyDescent="0.55000000000000004">
      <c r="C28">
        <v>-4.5</v>
      </c>
      <c r="D28">
        <v>-2.5283779109910114</v>
      </c>
      <c r="E28">
        <v>29.996270442206647</v>
      </c>
      <c r="F28">
        <v>-0.95994096042667554</v>
      </c>
      <c r="G28">
        <v>91.378123193815</v>
      </c>
    </row>
    <row r="29" spans="3:13" x14ac:dyDescent="0.55000000000000004">
      <c r="C29">
        <v>-4</v>
      </c>
      <c r="D29">
        <v>-1.2806006379653823</v>
      </c>
      <c r="E29">
        <v>29.975415035519696</v>
      </c>
      <c r="F29">
        <v>-0.9858636864139374</v>
      </c>
      <c r="G29">
        <v>92.478128700980648</v>
      </c>
    </row>
    <row r="30" spans="3:13" x14ac:dyDescent="0.55000000000000004">
      <c r="C30">
        <v>-3.5</v>
      </c>
      <c r="D30">
        <v>-8.8134905114101575E-2</v>
      </c>
      <c r="E30">
        <v>29.954468762786735</v>
      </c>
      <c r="F30">
        <v>-1.0627912937454473</v>
      </c>
      <c r="G30">
        <v>93.578134208146295</v>
      </c>
    </row>
    <row r="31" spans="3:13" x14ac:dyDescent="0.55000000000000004">
      <c r="C31">
        <v>-3</v>
      </c>
      <c r="D31">
        <v>1.0514579386745591</v>
      </c>
      <c r="E31">
        <v>29.930970372836377</v>
      </c>
      <c r="F31">
        <v>-1.1845543151567506</v>
      </c>
      <c r="G31">
        <v>94.678139715311943</v>
      </c>
    </row>
    <row r="32" spans="3:13" x14ac:dyDescent="0.55000000000000004">
      <c r="C32">
        <v>-2.5</v>
      </c>
      <c r="D32">
        <v>2.1405174100403923</v>
      </c>
      <c r="E32">
        <v>29.902878350090198</v>
      </c>
      <c r="F32">
        <v>-1.3456077579760899</v>
      </c>
      <c r="G32">
        <v>95.77814522247759</v>
      </c>
    </row>
    <row r="33" spans="3:8" x14ac:dyDescent="0.55000000000000004">
      <c r="C33">
        <v>-2</v>
      </c>
      <c r="D33">
        <v>3.1812846204297149</v>
      </c>
      <c r="E33">
        <v>29.868477377705233</v>
      </c>
      <c r="F33">
        <v>-1.5409679731054464</v>
      </c>
      <c r="G33">
        <v>96.878150729643238</v>
      </c>
    </row>
    <row r="34" spans="3:8" x14ac:dyDescent="0.55000000000000004">
      <c r="C34">
        <v>-1.5</v>
      </c>
      <c r="D34">
        <v>4.1878574687736254</v>
      </c>
      <c r="E34">
        <v>29.969364451580386</v>
      </c>
      <c r="F34">
        <v>-1.7729244926492245</v>
      </c>
      <c r="G34">
        <v>97.878155736157467</v>
      </c>
    </row>
    <row r="35" spans="3:8" x14ac:dyDescent="0.55000000000000004">
      <c r="C35">
        <v>-1</v>
      </c>
      <c r="D35">
        <v>5.1400920583203815</v>
      </c>
      <c r="E35">
        <v>29.918715559331662</v>
      </c>
      <c r="F35">
        <v>-2.0226980129755616</v>
      </c>
      <c r="G35">
        <v>98.978161243323115</v>
      </c>
    </row>
    <row r="36" spans="3:8" x14ac:dyDescent="0.55000000000000004">
      <c r="C36">
        <v>-0.5</v>
      </c>
      <c r="D36">
        <v>6.0653949160811038</v>
      </c>
      <c r="E36">
        <v>29.995720997600817</v>
      </c>
      <c r="F36">
        <v>-2.2994197843544355</v>
      </c>
      <c r="G36">
        <v>99.978166249837344</v>
      </c>
    </row>
    <row r="37" spans="3:8" x14ac:dyDescent="0.55000000000000004">
      <c r="C37">
        <v>0</v>
      </c>
      <c r="D37">
        <v>6.93648277161821</v>
      </c>
      <c r="E37">
        <v>29.926302889214643</v>
      </c>
      <c r="F37">
        <v>-2.5898807243653228</v>
      </c>
      <c r="G37">
        <v>101.07817175700299</v>
      </c>
    </row>
    <row r="40" spans="3:8" x14ac:dyDescent="0.55000000000000004">
      <c r="C40" t="s">
        <v>144</v>
      </c>
    </row>
    <row r="42" spans="3:8" x14ac:dyDescent="0.55000000000000004">
      <c r="C42" t="s">
        <v>58</v>
      </c>
      <c r="D42" t="s">
        <v>137</v>
      </c>
      <c r="E42" t="s">
        <v>138</v>
      </c>
      <c r="F42" t="s">
        <v>139</v>
      </c>
      <c r="G42" t="s">
        <v>136</v>
      </c>
      <c r="H42" t="s">
        <v>140</v>
      </c>
    </row>
    <row r="43" spans="3:8" x14ac:dyDescent="0.55000000000000004">
      <c r="C43">
        <v>48000</v>
      </c>
      <c r="D43">
        <v>-5.5065737549542604</v>
      </c>
      <c r="E43">
        <v>29.66667877976262</v>
      </c>
      <c r="F43">
        <v>-2.3844247152499749</v>
      </c>
      <c r="G43">
        <v>-5</v>
      </c>
      <c r="H43">
        <v>89.578114182089408</v>
      </c>
    </row>
    <row r="44" spans="3:8" x14ac:dyDescent="0.55000000000000004">
      <c r="C44">
        <v>51000</v>
      </c>
      <c r="D44">
        <v>-5.5065737549542604</v>
      </c>
      <c r="E44">
        <v>29.66667877976262</v>
      </c>
      <c r="F44">
        <v>-2.3844247152499749</v>
      </c>
      <c r="G44">
        <v>-5</v>
      </c>
      <c r="H44">
        <v>89.578114182089408</v>
      </c>
    </row>
    <row r="45" spans="3:8" x14ac:dyDescent="0.55000000000000004">
      <c r="C45">
        <v>48000</v>
      </c>
      <c r="D45">
        <v>-1.9078679769852558</v>
      </c>
      <c r="E45">
        <v>29.956314284338482</v>
      </c>
      <c r="F45">
        <v>-1.3954406439669897</v>
      </c>
      <c r="G45">
        <v>-4</v>
      </c>
      <c r="H45">
        <v>92.078126698374959</v>
      </c>
    </row>
    <row r="46" spans="3:8" x14ac:dyDescent="0.55000000000000004">
      <c r="C46">
        <v>51000</v>
      </c>
      <c r="D46">
        <v>-2.5339699823598218</v>
      </c>
      <c r="E46">
        <v>29.864988702496884</v>
      </c>
      <c r="F46">
        <v>-1.8814552743422817</v>
      </c>
      <c r="G46">
        <v>-4</v>
      </c>
      <c r="H46">
        <v>91.778125196420689</v>
      </c>
    </row>
    <row r="47" spans="3:8" x14ac:dyDescent="0.55000000000000004">
      <c r="C47">
        <v>48000</v>
      </c>
      <c r="D47">
        <v>0.61580984183255227</v>
      </c>
      <c r="E47">
        <v>29.905620709756278</v>
      </c>
      <c r="F47">
        <v>-1.4011102856185855</v>
      </c>
      <c r="G47">
        <v>-3</v>
      </c>
      <c r="H47">
        <v>94.378138213357673</v>
      </c>
    </row>
    <row r="48" spans="3:8" x14ac:dyDescent="0.55000000000000004">
      <c r="C48">
        <v>51000</v>
      </c>
      <c r="D48">
        <v>0.18189804640477619</v>
      </c>
      <c r="E48">
        <v>29.938101960071187</v>
      </c>
      <c r="F48">
        <v>-1.6801198362027305</v>
      </c>
      <c r="G48">
        <v>-3</v>
      </c>
      <c r="H48">
        <v>94.078136711403417</v>
      </c>
    </row>
    <row r="49" spans="3:8" x14ac:dyDescent="0.55000000000000004">
      <c r="C49">
        <v>48000</v>
      </c>
      <c r="D49">
        <v>2.9133123624823329</v>
      </c>
      <c r="E49">
        <v>29.856447767230218</v>
      </c>
      <c r="F49">
        <v>-1.618626722065823</v>
      </c>
      <c r="G49">
        <v>-2</v>
      </c>
      <c r="H49">
        <v>96.678149728340401</v>
      </c>
    </row>
    <row r="50" spans="3:8" x14ac:dyDescent="0.55000000000000004">
      <c r="C50">
        <v>51000</v>
      </c>
      <c r="D50">
        <v>2.6475024319610805</v>
      </c>
      <c r="E50">
        <v>29.880359381508303</v>
      </c>
      <c r="F50">
        <v>-1.730952780238765</v>
      </c>
      <c r="G50">
        <v>-2</v>
      </c>
      <c r="H50">
        <v>96.478148727037549</v>
      </c>
    </row>
    <row r="51" spans="3:8" x14ac:dyDescent="0.55000000000000004">
      <c r="C51">
        <v>48000</v>
      </c>
      <c r="D51">
        <v>5.0181928720393785</v>
      </c>
      <c r="E51">
        <v>29.932485926587749</v>
      </c>
      <c r="F51">
        <v>-2.0037259507115825</v>
      </c>
      <c r="G51">
        <v>-1</v>
      </c>
      <c r="H51">
        <v>98.878160742671696</v>
      </c>
    </row>
    <row r="52" spans="3:8" x14ac:dyDescent="0.55000000000000004">
      <c r="C52">
        <v>51000</v>
      </c>
      <c r="D52">
        <v>4.8982670617660506</v>
      </c>
      <c r="E52">
        <v>29.96587813435573</v>
      </c>
      <c r="F52">
        <v>-1.9994186824872129</v>
      </c>
      <c r="G52">
        <v>-1</v>
      </c>
      <c r="H52">
        <v>98.778160242020263</v>
      </c>
    </row>
    <row r="53" spans="3:8" x14ac:dyDescent="0.55000000000000004">
      <c r="C53">
        <v>48000</v>
      </c>
      <c r="D53">
        <v>6.9419167129935522</v>
      </c>
      <c r="E53">
        <v>29.969762196130482</v>
      </c>
      <c r="F53">
        <v>-2.5057435539436983</v>
      </c>
      <c r="G53">
        <v>0</v>
      </c>
      <c r="H53">
        <v>101.07817175700299</v>
      </c>
    </row>
    <row r="54" spans="3:8" x14ac:dyDescent="0.55000000000000004">
      <c r="C54">
        <v>51000</v>
      </c>
      <c r="D54">
        <v>6.93157600594476</v>
      </c>
      <c r="E54">
        <v>29.886853424007739</v>
      </c>
      <c r="F54">
        <v>-2.4188789511821756</v>
      </c>
      <c r="G54">
        <v>0</v>
      </c>
      <c r="H54">
        <v>101.17817225765441</v>
      </c>
    </row>
    <row r="57" spans="3:8" x14ac:dyDescent="0.55000000000000004">
      <c r="C57" t="s">
        <v>145</v>
      </c>
    </row>
    <row r="59" spans="3:8" x14ac:dyDescent="0.55000000000000004">
      <c r="C59" t="s">
        <v>146</v>
      </c>
      <c r="D59" t="s">
        <v>142</v>
      </c>
      <c r="E59" t="s">
        <v>141</v>
      </c>
      <c r="F59" t="s">
        <v>143</v>
      </c>
    </row>
    <row r="60" spans="3:8" x14ac:dyDescent="0.55000000000000004">
      <c r="C60">
        <v>15</v>
      </c>
      <c r="D60">
        <v>0</v>
      </c>
      <c r="E60">
        <v>0</v>
      </c>
      <c r="F60">
        <v>94.078136711403417</v>
      </c>
    </row>
    <row r="61" spans="3:8" x14ac:dyDescent="0.55000000000000004">
      <c r="C61">
        <v>11.037793355684244</v>
      </c>
      <c r="D61">
        <v>0</v>
      </c>
      <c r="E61">
        <v>2000</v>
      </c>
      <c r="F61">
        <v>93.110182574743249</v>
      </c>
    </row>
    <row r="62" spans="3:8" x14ac:dyDescent="0.55000000000000004">
      <c r="C62">
        <v>7.0755867113684872</v>
      </c>
      <c r="D62">
        <v>0</v>
      </c>
      <c r="E62">
        <v>4000</v>
      </c>
      <c r="F62">
        <v>92.081861226414404</v>
      </c>
    </row>
    <row r="63" spans="3:8" x14ac:dyDescent="0.55000000000000004">
      <c r="C63">
        <v>3.1133800670527307</v>
      </c>
      <c r="D63">
        <v>0</v>
      </c>
      <c r="E63">
        <v>6000</v>
      </c>
      <c r="F63">
        <v>91.087039544820072</v>
      </c>
    </row>
    <row r="64" spans="3:8" x14ac:dyDescent="0.55000000000000004">
      <c r="C64">
        <v>-0.84882657726302568</v>
      </c>
      <c r="D64">
        <v>0</v>
      </c>
      <c r="E64">
        <v>8000</v>
      </c>
      <c r="F64">
        <v>89.942153869991202</v>
      </c>
    </row>
    <row r="65" spans="3:6" x14ac:dyDescent="0.55000000000000004">
      <c r="C65">
        <v>25</v>
      </c>
      <c r="D65">
        <v>10</v>
      </c>
      <c r="E65">
        <v>0</v>
      </c>
      <c r="F65">
        <v>93.470074762729936</v>
      </c>
    </row>
    <row r="66" spans="3:6" x14ac:dyDescent="0.55000000000000004">
      <c r="C66">
        <v>21.037793355684244</v>
      </c>
      <c r="D66">
        <v>10</v>
      </c>
      <c r="E66">
        <v>2000</v>
      </c>
      <c r="F66">
        <v>92.468818636843679</v>
      </c>
    </row>
    <row r="67" spans="3:6" x14ac:dyDescent="0.55000000000000004">
      <c r="C67">
        <v>17.075586711368487</v>
      </c>
      <c r="D67">
        <v>10</v>
      </c>
      <c r="E67">
        <v>4000</v>
      </c>
      <c r="F67">
        <v>91.408537404555062</v>
      </c>
    </row>
    <row r="68" spans="3:6" x14ac:dyDescent="0.55000000000000004">
      <c r="C68">
        <v>13.113380067052731</v>
      </c>
      <c r="D68">
        <v>10</v>
      </c>
      <c r="E68">
        <v>6000</v>
      </c>
      <c r="F68">
        <v>90.38148314791647</v>
      </c>
    </row>
    <row r="69" spans="3:6" x14ac:dyDescent="0.55000000000000004">
      <c r="C69">
        <v>9.1511734227369743</v>
      </c>
      <c r="D69">
        <v>10</v>
      </c>
      <c r="E69">
        <v>8000</v>
      </c>
      <c r="F69">
        <v>88.596538451347868</v>
      </c>
    </row>
    <row r="70" spans="3:6" x14ac:dyDescent="0.55000000000000004">
      <c r="C70">
        <v>35</v>
      </c>
      <c r="D70">
        <v>20</v>
      </c>
      <c r="E70">
        <v>0</v>
      </c>
      <c r="F70">
        <v>92.811241776477132</v>
      </c>
    </row>
    <row r="71" spans="3:6" x14ac:dyDescent="0.55000000000000004">
      <c r="C71">
        <v>31.037793355684244</v>
      </c>
      <c r="D71">
        <v>20</v>
      </c>
      <c r="E71">
        <v>2000</v>
      </c>
      <c r="F71">
        <v>91.593484733386489</v>
      </c>
    </row>
    <row r="72" spans="3:6" x14ac:dyDescent="0.55000000000000004">
      <c r="C72">
        <v>27.075586711368487</v>
      </c>
      <c r="D72">
        <v>20</v>
      </c>
      <c r="E72">
        <v>4000</v>
      </c>
      <c r="F72">
        <v>89.691033294421786</v>
      </c>
    </row>
    <row r="73" spans="3:6" x14ac:dyDescent="0.55000000000000004">
      <c r="C73">
        <v>23.113380067052731</v>
      </c>
      <c r="D73">
        <v>20</v>
      </c>
      <c r="E73">
        <v>6000</v>
      </c>
      <c r="F73">
        <v>87.781948292496537</v>
      </c>
    </row>
    <row r="74" spans="3:6" x14ac:dyDescent="0.55000000000000004">
      <c r="C74">
        <v>19.151173422736974</v>
      </c>
      <c r="D74">
        <v>20</v>
      </c>
      <c r="E74">
        <v>8000</v>
      </c>
      <c r="F74">
        <v>85.781637176552593</v>
      </c>
    </row>
    <row r="75" spans="3:6" x14ac:dyDescent="0.55000000000000004">
      <c r="C75">
        <v>45</v>
      </c>
      <c r="D75">
        <v>30</v>
      </c>
      <c r="E75">
        <v>0</v>
      </c>
      <c r="F75">
        <v>90.103791110521342</v>
      </c>
    </row>
    <row r="76" spans="3:6" x14ac:dyDescent="0.55000000000000004">
      <c r="C76">
        <v>41.037793355684244</v>
      </c>
      <c r="D76">
        <v>30</v>
      </c>
      <c r="E76">
        <v>2000</v>
      </c>
      <c r="F76">
        <v>88.368615105309374</v>
      </c>
    </row>
    <row r="77" spans="3:6" x14ac:dyDescent="0.55000000000000004">
      <c r="C77">
        <v>37.075586711368487</v>
      </c>
      <c r="D77">
        <v>30</v>
      </c>
      <c r="E77">
        <v>4000</v>
      </c>
      <c r="F77">
        <v>86.530120327901315</v>
      </c>
    </row>
    <row r="78" spans="3:6" x14ac:dyDescent="0.55000000000000004">
      <c r="C78">
        <v>33.113380067052731</v>
      </c>
      <c r="D78">
        <v>30</v>
      </c>
      <c r="E78">
        <v>6000</v>
      </c>
      <c r="F78">
        <v>84.771588527798599</v>
      </c>
    </row>
    <row r="79" spans="3:6" x14ac:dyDescent="0.55000000000000004">
      <c r="C79">
        <v>29.151173422736974</v>
      </c>
      <c r="D79">
        <v>30</v>
      </c>
      <c r="E79">
        <v>8000</v>
      </c>
      <c r="F79">
        <v>82.833283644507333</v>
      </c>
    </row>
    <row r="80" spans="3:6" x14ac:dyDescent="0.55000000000000004">
      <c r="C80">
        <v>55</v>
      </c>
      <c r="D80">
        <v>40</v>
      </c>
      <c r="E80">
        <v>0</v>
      </c>
      <c r="F80">
        <v>87.033525041974443</v>
      </c>
    </row>
    <row r="81" spans="3:6" x14ac:dyDescent="0.55000000000000004">
      <c r="C81">
        <v>51.037793355684244</v>
      </c>
      <c r="D81">
        <v>40</v>
      </c>
      <c r="E81">
        <v>2000</v>
      </c>
      <c r="F81">
        <v>85.0849702212534</v>
      </c>
    </row>
    <row r="82" spans="3:6" x14ac:dyDescent="0.55000000000000004">
      <c r="C82">
        <v>47.075586711368487</v>
      </c>
      <c r="D82">
        <v>40</v>
      </c>
      <c r="E82">
        <v>4000</v>
      </c>
      <c r="F82">
        <v>83.579945491886534</v>
      </c>
    </row>
    <row r="83" spans="3:6" x14ac:dyDescent="0.55000000000000004">
      <c r="C83">
        <v>43.113380067052731</v>
      </c>
      <c r="D83">
        <v>40</v>
      </c>
      <c r="E83">
        <v>6000</v>
      </c>
      <c r="F83">
        <v>81.880293592230927</v>
      </c>
    </row>
    <row r="84" spans="3:6" x14ac:dyDescent="0.55000000000000004">
      <c r="C84">
        <v>39.151173422736974</v>
      </c>
      <c r="D84">
        <v>40</v>
      </c>
      <c r="E84">
        <v>8000</v>
      </c>
      <c r="F84">
        <v>79.920365365051254</v>
      </c>
    </row>
    <row r="87" spans="3:6" x14ac:dyDescent="0.55000000000000004">
      <c r="C87" t="s">
        <v>147</v>
      </c>
    </row>
    <row r="89" spans="3:6" x14ac:dyDescent="0.55000000000000004">
      <c r="C89" t="s">
        <v>146</v>
      </c>
      <c r="D89" t="s">
        <v>142</v>
      </c>
      <c r="E89" t="s">
        <v>141</v>
      </c>
      <c r="F89" t="s">
        <v>148</v>
      </c>
    </row>
    <row r="90" spans="3:6" x14ac:dyDescent="0.55000000000000004">
      <c r="C90">
        <v>15</v>
      </c>
      <c r="D90">
        <v>0</v>
      </c>
      <c r="E90">
        <v>0</v>
      </c>
      <c r="F90">
        <v>75.989697653635304</v>
      </c>
    </row>
    <row r="91" spans="3:6" x14ac:dyDescent="0.55000000000000004">
      <c r="C91">
        <v>11.037793355684244</v>
      </c>
      <c r="D91">
        <v>0</v>
      </c>
      <c r="E91">
        <v>2000</v>
      </c>
      <c r="F91">
        <v>73.818133306843563</v>
      </c>
    </row>
    <row r="92" spans="3:6" x14ac:dyDescent="0.55000000000000004">
      <c r="C92">
        <v>7.0755867113684872</v>
      </c>
      <c r="D92">
        <v>0</v>
      </c>
      <c r="E92">
        <v>4000</v>
      </c>
      <c r="F92">
        <v>71.512955085167818</v>
      </c>
    </row>
    <row r="93" spans="3:6" x14ac:dyDescent="0.55000000000000004">
      <c r="C93">
        <v>3.1133800670527307</v>
      </c>
      <c r="D93">
        <v>0</v>
      </c>
      <c r="E93">
        <v>6000</v>
      </c>
      <c r="F93">
        <v>68.501415901465847</v>
      </c>
    </row>
    <row r="94" spans="3:6" x14ac:dyDescent="0.55000000000000004">
      <c r="C94">
        <v>-0.84882657726302568</v>
      </c>
      <c r="D94">
        <v>0</v>
      </c>
      <c r="E94">
        <v>8000</v>
      </c>
      <c r="F94">
        <v>65.921693418108489</v>
      </c>
    </row>
    <row r="95" spans="3:6" x14ac:dyDescent="0.55000000000000004">
      <c r="C95">
        <v>25</v>
      </c>
      <c r="D95">
        <v>10</v>
      </c>
      <c r="E95">
        <v>0</v>
      </c>
      <c r="F95">
        <v>74.830062641978984</v>
      </c>
    </row>
    <row r="96" spans="3:6" x14ac:dyDescent="0.55000000000000004">
      <c r="C96">
        <v>21.037793355684244</v>
      </c>
      <c r="D96">
        <v>10</v>
      </c>
      <c r="E96">
        <v>2000</v>
      </c>
      <c r="F96">
        <v>72.433703661865721</v>
      </c>
    </row>
    <row r="97" spans="3:6" x14ac:dyDescent="0.55000000000000004">
      <c r="C97">
        <v>17.075586711368487</v>
      </c>
      <c r="D97">
        <v>10</v>
      </c>
      <c r="E97">
        <v>4000</v>
      </c>
      <c r="F97">
        <v>69.545494648661219</v>
      </c>
    </row>
    <row r="98" spans="3:6" x14ac:dyDescent="0.55000000000000004">
      <c r="C98">
        <v>13.113380067052731</v>
      </c>
      <c r="D98">
        <v>10</v>
      </c>
      <c r="E98">
        <v>6000</v>
      </c>
      <c r="F98">
        <v>67.424437453155292</v>
      </c>
    </row>
    <row r="99" spans="3:6" x14ac:dyDescent="0.55000000000000004">
      <c r="C99">
        <v>9.1511734227369743</v>
      </c>
      <c r="D99">
        <v>10</v>
      </c>
      <c r="E99">
        <v>8000</v>
      </c>
      <c r="F99">
        <v>62.899012531883592</v>
      </c>
    </row>
    <row r="100" spans="3:6" x14ac:dyDescent="0.55000000000000004">
      <c r="C100">
        <v>35</v>
      </c>
      <c r="D100">
        <v>20</v>
      </c>
      <c r="E100">
        <v>0</v>
      </c>
      <c r="F100">
        <v>73.498102664899776</v>
      </c>
    </row>
    <row r="101" spans="3:6" x14ac:dyDescent="0.55000000000000004">
      <c r="C101">
        <v>31.037793355684244</v>
      </c>
      <c r="D101">
        <v>20</v>
      </c>
      <c r="E101">
        <v>2000</v>
      </c>
      <c r="F101">
        <v>69.880094841201014</v>
      </c>
    </row>
    <row r="102" spans="3:6" x14ac:dyDescent="0.55000000000000004">
      <c r="C102">
        <v>27.075586711368487</v>
      </c>
      <c r="D102">
        <v>20</v>
      </c>
      <c r="E102">
        <v>4000</v>
      </c>
      <c r="F102">
        <v>65.369223620187185</v>
      </c>
    </row>
    <row r="103" spans="3:6" x14ac:dyDescent="0.55000000000000004">
      <c r="C103">
        <v>23.113380067052731</v>
      </c>
      <c r="D103">
        <v>20</v>
      </c>
      <c r="E103">
        <v>6000</v>
      </c>
      <c r="F103">
        <v>61.228479116610025</v>
      </c>
    </row>
    <row r="104" spans="3:6" x14ac:dyDescent="0.55000000000000004">
      <c r="C104">
        <v>19.151173422736974</v>
      </c>
      <c r="D104">
        <v>20</v>
      </c>
      <c r="E104">
        <v>8000</v>
      </c>
      <c r="F104">
        <v>57.685494531162554</v>
      </c>
    </row>
    <row r="105" spans="3:6" x14ac:dyDescent="0.55000000000000004">
      <c r="C105">
        <v>45</v>
      </c>
      <c r="D105">
        <v>30</v>
      </c>
      <c r="E105">
        <v>0</v>
      </c>
      <c r="F105">
        <v>66.529343922202045</v>
      </c>
    </row>
    <row r="106" spans="3:6" x14ac:dyDescent="0.55000000000000004">
      <c r="C106">
        <v>41.037793355684244</v>
      </c>
      <c r="D106">
        <v>30</v>
      </c>
      <c r="E106">
        <v>2000</v>
      </c>
      <c r="F106">
        <v>62.432096838715104</v>
      </c>
    </row>
    <row r="107" spans="3:6" x14ac:dyDescent="0.55000000000000004">
      <c r="C107">
        <v>37.075586711368487</v>
      </c>
      <c r="D107">
        <v>30</v>
      </c>
      <c r="E107">
        <v>4000</v>
      </c>
      <c r="F107">
        <v>58.94215861885047</v>
      </c>
    </row>
    <row r="108" spans="3:6" x14ac:dyDescent="0.55000000000000004">
      <c r="C108">
        <v>33.113380067052731</v>
      </c>
      <c r="D108">
        <v>30</v>
      </c>
      <c r="E108">
        <v>6000</v>
      </c>
      <c r="F108">
        <v>56.039154127597975</v>
      </c>
    </row>
    <row r="109" spans="3:6" x14ac:dyDescent="0.55000000000000004">
      <c r="C109">
        <v>29.151173422736974</v>
      </c>
      <c r="D109">
        <v>30</v>
      </c>
      <c r="E109">
        <v>8000</v>
      </c>
      <c r="F109">
        <v>54.239323565588442</v>
      </c>
    </row>
    <row r="110" spans="3:6" x14ac:dyDescent="0.55000000000000004">
      <c r="C110">
        <v>55</v>
      </c>
      <c r="D110">
        <v>40</v>
      </c>
      <c r="E110">
        <v>0</v>
      </c>
      <c r="F110">
        <v>59.182087374189791</v>
      </c>
    </row>
    <row r="111" spans="3:6" x14ac:dyDescent="0.55000000000000004">
      <c r="C111">
        <v>51.037793355684244</v>
      </c>
      <c r="D111">
        <v>40</v>
      </c>
      <c r="E111">
        <v>2000</v>
      </c>
      <c r="F111">
        <v>56.142256604341497</v>
      </c>
    </row>
    <row r="112" spans="3:6" x14ac:dyDescent="0.55000000000000004">
      <c r="C112">
        <v>47.075586711368487</v>
      </c>
      <c r="D112">
        <v>40</v>
      </c>
      <c r="E112">
        <v>4000</v>
      </c>
      <c r="F112">
        <v>54.093368307769566</v>
      </c>
    </row>
    <row r="113" spans="3:6" x14ac:dyDescent="0.55000000000000004">
      <c r="C113">
        <v>43.113380067052731</v>
      </c>
      <c r="D113">
        <v>40</v>
      </c>
      <c r="E113">
        <v>6000</v>
      </c>
      <c r="F113">
        <v>52.510838730657085</v>
      </c>
    </row>
    <row r="114" spans="3:6" x14ac:dyDescent="0.55000000000000004">
      <c r="C114">
        <v>39.151173422736974</v>
      </c>
      <c r="D114">
        <v>40</v>
      </c>
      <c r="E114">
        <v>8000</v>
      </c>
      <c r="F114">
        <v>52.275932704929716</v>
      </c>
    </row>
  </sheetData>
  <phoneticPr fontId="3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6772D2-AA92-4E15-862E-20903649C3D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Input</vt:lpstr>
      <vt:lpstr>Reading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Gabriele Morra</dc:creator>
  <cp:lastModifiedBy>GABRIELE MORRA</cp:lastModifiedBy>
  <dcterms:created xsi:type="dcterms:W3CDTF">2015-06-05T18:17:20Z</dcterms:created>
  <dcterms:modified xsi:type="dcterms:W3CDTF">2025-09-10T14:48:18Z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ad0b24d-6422-44b0-b3de-abb3a9e8c81a_Enabled">
    <vt:lpwstr>true</vt:lpwstr>
  </property>
  <property fmtid="{D5CDD505-2E9C-101B-9397-08002B2CF9AE}" pid="3" name="MSIP_Label_2ad0b24d-6422-44b0-b3de-abb3a9e8c81a_SetDate">
    <vt:lpwstr>2024-05-03T07:54:32Z</vt:lpwstr>
  </property>
  <property fmtid="{D5CDD505-2E9C-101B-9397-08002B2CF9AE}" pid="4" name="MSIP_Label_2ad0b24d-6422-44b0-b3de-abb3a9e8c81a_Method">
    <vt:lpwstr>Standard</vt:lpwstr>
  </property>
  <property fmtid="{D5CDD505-2E9C-101B-9397-08002B2CF9AE}" pid="5" name="MSIP_Label_2ad0b24d-6422-44b0-b3de-abb3a9e8c81a_Name">
    <vt:lpwstr>defa4170-0d19-0005-0004-bc88714345d2</vt:lpwstr>
  </property>
  <property fmtid="{D5CDD505-2E9C-101B-9397-08002B2CF9AE}" pid="6" name="MSIP_Label_2ad0b24d-6422-44b0-b3de-abb3a9e8c81a_SiteId">
    <vt:lpwstr>2fcfe26a-bb62-46b0-b1e3-28f9da0c45fd</vt:lpwstr>
  </property>
  <property fmtid="{D5CDD505-2E9C-101B-9397-08002B2CF9AE}" pid="7" name="MSIP_Label_2ad0b24d-6422-44b0-b3de-abb3a9e8c81a_ActionId">
    <vt:lpwstr>06584555-f7b5-4ca0-94eb-33da5958a60d</vt:lpwstr>
  </property>
  <property fmtid="{D5CDD505-2E9C-101B-9397-08002B2CF9AE}" pid="8" name="MSIP_Label_2ad0b24d-6422-44b0-b3de-abb3a9e8c81a_ContentBits">
    <vt:lpwstr>0</vt:lpwstr>
  </property>
</Properties>
</file>